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780" windowHeight="11895"/>
  </bookViews>
  <sheets>
    <sheet name="Datos" sheetId="6" r:id="rId1"/>
    <sheet name="Certificado" sheetId="5" r:id="rId2"/>
    <sheet name="num2txt" sheetId="7" r:id="rId3"/>
  </sheets>
  <definedNames>
    <definedName name="_xlnm._FilterDatabase" localSheetId="0" hidden="1">Datos!$A$1:$C$1</definedName>
  </definedNames>
  <calcPr calcId="145621"/>
</workbook>
</file>

<file path=xl/calcChain.xml><?xml version="1.0" encoding="utf-8"?>
<calcChain xmlns="http://schemas.openxmlformats.org/spreadsheetml/2006/main">
  <c r="B2" i="7" l="1"/>
  <c r="B3" i="7" l="1"/>
  <c r="H2" i="7"/>
  <c r="C3" i="7"/>
  <c r="E3" i="7"/>
  <c r="G3" i="7"/>
  <c r="I3" i="7"/>
  <c r="K3" i="7"/>
  <c r="M3" i="7"/>
  <c r="M4" i="7" s="1"/>
  <c r="L7" i="7" s="1"/>
  <c r="L8" i="7" s="1"/>
  <c r="G2" i="7"/>
  <c r="D3" i="7"/>
  <c r="F3" i="7"/>
  <c r="H3" i="7"/>
  <c r="H4" i="7" s="1"/>
  <c r="H6" i="7" s="1"/>
  <c r="J3" i="7"/>
  <c r="L3" i="7"/>
  <c r="L4" i="7" s="1"/>
  <c r="L6" i="7" s="1"/>
  <c r="N2" i="7"/>
  <c r="O2" i="7" s="1"/>
  <c r="P2" i="7" s="1"/>
  <c r="B13" i="7"/>
  <c r="C14" i="7"/>
  <c r="D4" i="7" l="1"/>
  <c r="C7" i="7" s="1"/>
  <c r="C8" i="7" s="1"/>
  <c r="M9" i="7"/>
  <c r="M10" i="7" s="1"/>
  <c r="M6" i="7"/>
  <c r="L5" i="7"/>
  <c r="L11" i="7" s="1"/>
  <c r="H5" i="7"/>
  <c r="M5" i="7"/>
  <c r="B4" i="7"/>
  <c r="B6" i="7" s="1"/>
  <c r="J4" i="7"/>
  <c r="F4" i="7"/>
  <c r="K4" i="7"/>
  <c r="G4" i="7"/>
  <c r="C4" i="7"/>
  <c r="I4" i="7"/>
  <c r="E4" i="7"/>
  <c r="P3" i="7"/>
  <c r="Q3" i="7"/>
  <c r="Q4" i="7" s="1"/>
  <c r="L12" i="7" l="1"/>
  <c r="L13" i="7" s="1"/>
  <c r="H7" i="7"/>
  <c r="H8" i="7" s="1"/>
  <c r="H11" i="7" s="1"/>
  <c r="H12" i="7" s="1"/>
  <c r="D5" i="7"/>
  <c r="M11" i="7"/>
  <c r="M12" i="7" s="1"/>
  <c r="D6" i="7"/>
  <c r="D11" i="7" s="1"/>
  <c r="P4" i="7"/>
  <c r="R4" i="7" s="1"/>
  <c r="B7" i="7"/>
  <c r="B8" i="7" s="1"/>
  <c r="B5" i="7"/>
  <c r="F6" i="7"/>
  <c r="G9" i="7"/>
  <c r="G10" i="7" s="1"/>
  <c r="F5" i="7"/>
  <c r="I7" i="7"/>
  <c r="I8" i="7" s="1"/>
  <c r="J5" i="7"/>
  <c r="J6" i="7"/>
  <c r="E5" i="7"/>
  <c r="E6" i="7"/>
  <c r="E7" i="7"/>
  <c r="F7" i="7"/>
  <c r="F8" i="7" s="1"/>
  <c r="G5" i="7"/>
  <c r="G7" i="7"/>
  <c r="G6" i="7"/>
  <c r="I6" i="7"/>
  <c r="J9" i="7"/>
  <c r="J7" i="7"/>
  <c r="I5" i="7"/>
  <c r="C6" i="7"/>
  <c r="D9" i="7"/>
  <c r="C5" i="7"/>
  <c r="K5" i="7"/>
  <c r="K6" i="7"/>
  <c r="K7" i="7" s="1"/>
  <c r="Q6" i="7"/>
  <c r="Q5" i="7"/>
  <c r="P7" i="7"/>
  <c r="Q9" i="7"/>
  <c r="P5" i="7" l="1"/>
  <c r="P6" i="7"/>
  <c r="J11" i="7"/>
  <c r="F11" i="7"/>
  <c r="F12" i="7" s="1"/>
  <c r="B11" i="7"/>
  <c r="B12" i="7" s="1"/>
  <c r="E8" i="7"/>
  <c r="E11" i="7" s="1"/>
  <c r="E12" i="7" s="1"/>
  <c r="C11" i="7"/>
  <c r="K8" i="7"/>
  <c r="G8" i="7"/>
  <c r="G11" i="7" s="1"/>
  <c r="G12" i="7" s="1"/>
  <c r="I11" i="7"/>
  <c r="I12" i="7" s="1"/>
  <c r="Q11" i="7"/>
  <c r="Q12" i="7" s="1"/>
  <c r="K11" i="7"/>
  <c r="K12" i="7" s="1"/>
  <c r="C12" i="7"/>
  <c r="D12" i="7"/>
  <c r="D10" i="7"/>
  <c r="J10" i="7"/>
  <c r="Q10" i="7"/>
  <c r="P16" i="7"/>
  <c r="O16" i="7"/>
  <c r="P11" i="7" l="1"/>
  <c r="P12" i="7" s="1"/>
  <c r="P15" i="7" s="1"/>
  <c r="J12" i="7"/>
  <c r="B15" i="7" l="1"/>
  <c r="B16" i="7" s="1"/>
</calcChain>
</file>

<file path=xl/comments1.xml><?xml version="1.0" encoding="utf-8"?>
<comments xmlns="http://schemas.openxmlformats.org/spreadsheetml/2006/main">
  <authors>
    <author>hcardenas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hcardenas:</t>
        </r>
        <r>
          <rPr>
            <sz val="8"/>
            <color indexed="81"/>
            <rFont val="Tahoma"/>
            <family val="2"/>
          </rPr>
          <t xml:space="preserve">
En celda será igual a la celda que contenga la cantidad a convertir.
Ej: =Hoja1!a1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hcardenas:</t>
        </r>
        <r>
          <rPr>
            <sz val="8"/>
            <color indexed="81"/>
            <rFont val="Tahoma"/>
            <family val="2"/>
          </rPr>
          <t xml:space="preserve">
En su documento, donde quiera se lea la cantidad en letras, coloque la formula 
=CONVERSION!B16
</t>
        </r>
      </text>
    </comment>
  </commentList>
</comments>
</file>

<file path=xl/sharedStrings.xml><?xml version="1.0" encoding="utf-8"?>
<sst xmlns="http://schemas.openxmlformats.org/spreadsheetml/2006/main" count="163" uniqueCount="72">
  <si>
    <t>COMERCIALIZADORA INTERNACIONAL CI S.A.S.</t>
  </si>
  <si>
    <t>Nit 811000608-1</t>
  </si>
  <si>
    <t>Cr 47E 78C SUR 86</t>
  </si>
  <si>
    <t>Teléfono 4484488</t>
  </si>
  <si>
    <t>CERTIFICA:</t>
  </si>
  <si>
    <t xml:space="preserve">Monto total antes de IVA </t>
  </si>
  <si>
    <t>Retenciones realizadas y consignadas oportunamente en la ciudad de Medellín.</t>
  </si>
  <si>
    <t>Se expide el presente certificado en cumplimiento de lo establecido en el Decreto 380, Artículo 7 de 1996.</t>
  </si>
  <si>
    <t>NIT</t>
  </si>
  <si>
    <t>ReteIVA</t>
  </si>
  <si>
    <t>Razon Social</t>
  </si>
  <si>
    <t>Periodo Inicio</t>
  </si>
  <si>
    <t>Periodo Fin</t>
  </si>
  <si>
    <t xml:space="preserve"> PESO</t>
  </si>
  <si>
    <t>NOTA</t>
  </si>
  <si>
    <t>1)   Copie esta hoja en su libro de excel.           2) En la celda B1 coloque la rreferencia del número a convertir. Ej. =Hoja1A1                 3) En la hoja donde quiera se lea la cantidad en letra coloque la formula.     =CONVERSION!B13</t>
  </si>
  <si>
    <t xml:space="preserve"> CIENTO</t>
  </si>
  <si>
    <t xml:space="preserve"> DIEZ</t>
  </si>
  <si>
    <t xml:space="preserve"> UN</t>
  </si>
  <si>
    <t>CIENTO</t>
  </si>
  <si>
    <t xml:space="preserve"> DOSCIENTOS</t>
  </si>
  <si>
    <t xml:space="preserve"> VEINTE</t>
  </si>
  <si>
    <t xml:space="preserve"> DOS</t>
  </si>
  <si>
    <t>DOSCIENTOS</t>
  </si>
  <si>
    <t xml:space="preserve"> TRESCIENTOS</t>
  </si>
  <si>
    <t xml:space="preserve"> TREINTA</t>
  </si>
  <si>
    <t xml:space="preserve"> TRES</t>
  </si>
  <si>
    <t>TRESCIENTOS</t>
  </si>
  <si>
    <t xml:space="preserve"> CUATROCIENTOS</t>
  </si>
  <si>
    <t xml:space="preserve"> CUARENTA</t>
  </si>
  <si>
    <t xml:space="preserve"> CUATRO</t>
  </si>
  <si>
    <t>CUATROCIENTOS</t>
  </si>
  <si>
    <t xml:space="preserve"> QUINIENTOS</t>
  </si>
  <si>
    <t xml:space="preserve"> CINCUENTA</t>
  </si>
  <si>
    <t xml:space="preserve"> CINCO</t>
  </si>
  <si>
    <t>QUINIENTOS</t>
  </si>
  <si>
    <t xml:space="preserve"> SEISCIENTOS</t>
  </si>
  <si>
    <t xml:space="preserve"> SESENTA</t>
  </si>
  <si>
    <t xml:space="preserve"> SEIS</t>
  </si>
  <si>
    <t>SEISCIENTOS</t>
  </si>
  <si>
    <t xml:space="preserve"> SETECIENTOS</t>
  </si>
  <si>
    <t xml:space="preserve"> SETENTA</t>
  </si>
  <si>
    <t xml:space="preserve"> SIETE</t>
  </si>
  <si>
    <t>SETECIENTOS</t>
  </si>
  <si>
    <t xml:space="preserve"> OCHOCIENTOS</t>
  </si>
  <si>
    <t xml:space="preserve"> OCHENTA</t>
  </si>
  <si>
    <t xml:space="preserve"> OCHO</t>
  </si>
  <si>
    <t>OCHOCIENTOS</t>
  </si>
  <si>
    <t xml:space="preserve"> NOVECIENTOS</t>
  </si>
  <si>
    <t xml:space="preserve"> NOVENTA</t>
  </si>
  <si>
    <t xml:space="preserve"> NUEVE</t>
  </si>
  <si>
    <t>NOVECIENTOS</t>
  </si>
  <si>
    <t>ONCE MILLONES</t>
  </si>
  <si>
    <t>ONCE MIL</t>
  </si>
  <si>
    <t>ONCE</t>
  </si>
  <si>
    <t>DOCE MILLONES</t>
  </si>
  <si>
    <t>DOCE MIL</t>
  </si>
  <si>
    <t>DOCE</t>
  </si>
  <si>
    <t>TRECE MILLONES</t>
  </si>
  <si>
    <t>TRECE MIL</t>
  </si>
  <si>
    <t>TRECE</t>
  </si>
  <si>
    <t>CATORCE MILLONES</t>
  </si>
  <si>
    <t>CATORCE MIL</t>
  </si>
  <si>
    <t>CATORCE</t>
  </si>
  <si>
    <t>QUINCE MILLONES</t>
  </si>
  <si>
    <t>QUINCE MIL</t>
  </si>
  <si>
    <t>QUINCE</t>
  </si>
  <si>
    <t>Valor en texto</t>
  </si>
  <si>
    <t>Medellín, 18 de marzo de 2013</t>
  </si>
  <si>
    <t>Base</t>
  </si>
  <si>
    <t>Monto total antes de IVA</t>
  </si>
  <si>
    <t>Que esta empresa retuvo por concepto de IVA RETENIDO REGIMEN COMUN a ANGELA RUIZ DE GIRALDO Nit 32328073-3, durante el periodo comprendido entre 01/05/2012 y 30/06/2012, la suma de doscientos mil pesos $ 200,000.00 correspondiente al 8.00% sobre una base de $ 400,000.00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</si>
</sst>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\ #,##0.00_);\(&quot;$&quot;\ #,##0.00\)"/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\ #,##0.00"/>
    <numFmt numFmtId="165" formatCode="_ * #,##0.00_ ;_ * \-#,##0.00_ ;_ * &quot;-&quot;??_ ;_ @_ "/>
    <numFmt numFmtId="166" formatCode="_(* #,##0_);_(* \(#,##0\);_(* &quot;-&quot;??_);_(@_)"/>
    <numFmt numFmtId="167" formatCode="_ * #,##0_ ;_ * \-#,##0_ ;_ * &quot;-&quot;??_ ;_ @_ 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6"/>
      <color indexed="8"/>
      <name val="Calibri"/>
      <family val="2"/>
    </font>
    <font>
      <b/>
      <sz val="12"/>
      <color indexed="8"/>
      <name val="Calibri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sz val="7"/>
      <color indexed="8"/>
      <name val="Calibri"/>
      <family val="2"/>
    </font>
    <font>
      <b/>
      <sz val="6"/>
      <color indexed="8"/>
      <name val="Calibri"/>
      <family val="2"/>
    </font>
    <font>
      <b/>
      <sz val="8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33333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59">
    <xf numFmtId="0" fontId="0" fillId="0" borderId="0" xfId="0"/>
    <xf numFmtId="164" fontId="0" fillId="0" borderId="0" xfId="0" applyNumberFormat="1"/>
    <xf numFmtId="0" fontId="3" fillId="0" borderId="0" xfId="5" applyProtection="1">
      <protection hidden="1"/>
    </xf>
    <xf numFmtId="165" fontId="4" fillId="4" borderId="4" xfId="1" applyNumberFormat="1" applyFont="1" applyFill="1" applyBorder="1" applyProtection="1">
      <protection locked="0"/>
    </xf>
    <xf numFmtId="0" fontId="5" fillId="0" borderId="4" xfId="5" applyFont="1" applyBorder="1" applyProtection="1">
      <protection hidden="1"/>
    </xf>
    <xf numFmtId="166" fontId="5" fillId="0" borderId="4" xfId="4" applyNumberFormat="1" applyFont="1" applyFill="1" applyBorder="1" applyAlignment="1" applyProtection="1">
      <alignment horizontal="center"/>
      <protection hidden="1"/>
    </xf>
    <xf numFmtId="2" fontId="3" fillId="5" borderId="0" xfId="5" applyNumberFormat="1" applyFill="1" applyProtection="1">
      <protection hidden="1"/>
    </xf>
    <xf numFmtId="166" fontId="6" fillId="5" borderId="4" xfId="3" applyNumberFormat="1" applyFont="1" applyFill="1" applyBorder="1" applyAlignment="1" applyProtection="1">
      <alignment horizontal="center"/>
      <protection hidden="1"/>
    </xf>
    <xf numFmtId="0" fontId="5" fillId="0" borderId="4" xfId="5" applyNumberFormat="1" applyFont="1" applyFill="1" applyBorder="1" applyProtection="1">
      <protection hidden="1"/>
    </xf>
    <xf numFmtId="0" fontId="3" fillId="0" borderId="0" xfId="5" applyFill="1" applyProtection="1">
      <protection hidden="1"/>
    </xf>
    <xf numFmtId="167" fontId="4" fillId="0" borderId="0" xfId="1" applyNumberFormat="1" applyFont="1" applyProtection="1">
      <protection hidden="1"/>
    </xf>
    <xf numFmtId="166" fontId="7" fillId="0" borderId="4" xfId="4" applyNumberFormat="1" applyFont="1" applyFill="1" applyBorder="1" applyAlignment="1" applyProtection="1">
      <alignment horizontal="center"/>
      <protection hidden="1"/>
    </xf>
    <xf numFmtId="166" fontId="9" fillId="0" borderId="4" xfId="4" applyNumberFormat="1" applyFont="1" applyFill="1" applyBorder="1" applyAlignment="1" applyProtection="1">
      <alignment horizontal="center"/>
      <protection hidden="1"/>
    </xf>
    <xf numFmtId="0" fontId="9" fillId="0" borderId="0" xfId="5" applyFont="1" applyProtection="1">
      <protection hidden="1"/>
    </xf>
    <xf numFmtId="166" fontId="9" fillId="0" borderId="4" xfId="4" applyNumberFormat="1" applyFont="1" applyFill="1" applyBorder="1" applyAlignment="1" applyProtection="1">
      <alignment horizontal="center" vertical="center"/>
      <protection hidden="1"/>
    </xf>
    <xf numFmtId="166" fontId="9" fillId="0" borderId="4" xfId="6" applyNumberFormat="1" applyFont="1" applyFill="1" applyBorder="1" applyProtection="1">
      <protection hidden="1"/>
    </xf>
    <xf numFmtId="0" fontId="8" fillId="0" borderId="0" xfId="5" applyFont="1" applyBorder="1" applyAlignment="1" applyProtection="1">
      <alignment wrapText="1"/>
      <protection hidden="1"/>
    </xf>
    <xf numFmtId="0" fontId="8" fillId="0" borderId="4" xfId="5" applyFont="1" applyBorder="1" applyAlignment="1" applyProtection="1">
      <alignment wrapText="1"/>
      <protection hidden="1"/>
    </xf>
    <xf numFmtId="0" fontId="3" fillId="0" borderId="0" xfId="5" applyBorder="1" applyProtection="1">
      <protection hidden="1"/>
    </xf>
    <xf numFmtId="166" fontId="10" fillId="4" borderId="4" xfId="4" applyNumberFormat="1" applyFont="1" applyFill="1" applyBorder="1" applyAlignment="1" applyProtection="1">
      <alignment horizontal="center"/>
      <protection hidden="1"/>
    </xf>
    <xf numFmtId="166" fontId="7" fillId="0" borderId="6" xfId="4" applyNumberFormat="1" applyFont="1" applyFill="1" applyBorder="1" applyAlignment="1" applyProtection="1">
      <protection hidden="1"/>
    </xf>
    <xf numFmtId="166" fontId="7" fillId="0" borderId="7" xfId="4" applyNumberFormat="1" applyFont="1" applyFill="1" applyBorder="1" applyAlignment="1" applyProtection="1">
      <protection hidden="1"/>
    </xf>
    <xf numFmtId="0" fontId="4" fillId="0" borderId="0" xfId="5" applyFont="1" applyBorder="1" applyProtection="1">
      <protection hidden="1"/>
    </xf>
    <xf numFmtId="166" fontId="11" fillId="2" borderId="8" xfId="3" applyNumberFormat="1" applyFont="1" applyBorder="1" applyAlignment="1" applyProtection="1">
      <protection hidden="1"/>
    </xf>
    <xf numFmtId="166" fontId="11" fillId="2" borderId="6" xfId="3" applyNumberFormat="1" applyFont="1" applyBorder="1" applyAlignment="1" applyProtection="1">
      <protection hidden="1"/>
    </xf>
    <xf numFmtId="166" fontId="11" fillId="2" borderId="7" xfId="3" applyNumberFormat="1" applyFont="1" applyBorder="1" applyAlignment="1" applyProtection="1">
      <protection hidden="1"/>
    </xf>
    <xf numFmtId="166" fontId="3" fillId="0" borderId="0" xfId="6" applyNumberFormat="1" applyFont="1" applyBorder="1" applyAlignment="1" applyProtection="1">
      <alignment horizontal="center"/>
      <protection hidden="1"/>
    </xf>
    <xf numFmtId="49" fontId="5" fillId="0" borderId="4" xfId="5" applyNumberFormat="1" applyFont="1" applyBorder="1" applyAlignment="1" applyProtection="1">
      <alignment horizontal="center"/>
      <protection hidden="1"/>
    </xf>
    <xf numFmtId="49" fontId="7" fillId="0" borderId="4" xfId="5" applyNumberFormat="1" applyFont="1" applyBorder="1" applyAlignment="1" applyProtection="1">
      <alignment horizontal="center"/>
      <protection hidden="1"/>
    </xf>
    <xf numFmtId="166" fontId="3" fillId="0" borderId="0" xfId="6" applyNumberFormat="1" applyFont="1" applyFill="1" applyBorder="1" applyAlignment="1" applyProtection="1">
      <alignment horizontal="center"/>
      <protection hidden="1"/>
    </xf>
    <xf numFmtId="166" fontId="3" fillId="0" borderId="8" xfId="6" applyNumberFormat="1" applyFont="1" applyFill="1" applyBorder="1" applyAlignment="1" applyProtection="1">
      <alignment horizontal="center"/>
      <protection hidden="1"/>
    </xf>
    <xf numFmtId="166" fontId="3" fillId="0" borderId="4" xfId="6" applyNumberFormat="1" applyFont="1" applyFill="1" applyBorder="1" applyAlignment="1" applyProtection="1">
      <alignment horizontal="center"/>
      <protection hidden="1"/>
    </xf>
    <xf numFmtId="49" fontId="7" fillId="0" borderId="4" xfId="5" applyNumberFormat="1" applyFont="1" applyFill="1" applyBorder="1" applyAlignment="1" applyProtection="1">
      <alignment horizontal="center"/>
      <protection hidden="1"/>
    </xf>
    <xf numFmtId="49" fontId="5" fillId="0" borderId="4" xfId="5" applyNumberFormat="1" applyFont="1" applyFill="1" applyBorder="1" applyAlignment="1" applyProtection="1">
      <alignment horizontal="center"/>
      <protection hidden="1"/>
    </xf>
    <xf numFmtId="0" fontId="3" fillId="0" borderId="4" xfId="5" applyBorder="1" applyProtection="1">
      <protection hidden="1"/>
    </xf>
    <xf numFmtId="0" fontId="5" fillId="0" borderId="0" xfId="5" applyFont="1" applyProtection="1">
      <protection hidden="1"/>
    </xf>
    <xf numFmtId="0" fontId="0" fillId="0" borderId="0" xfId="0" applyFont="1" applyFill="1"/>
    <xf numFmtId="0" fontId="0" fillId="0" borderId="3" xfId="0" applyFont="1" applyFill="1" applyBorder="1"/>
    <xf numFmtId="0" fontId="0" fillId="0" borderId="0" xfId="0" applyFont="1" applyFill="1" applyBorder="1"/>
    <xf numFmtId="7" fontId="0" fillId="0" borderId="0" xfId="0" applyNumberFormat="1" applyFont="1" applyFill="1"/>
    <xf numFmtId="14" fontId="0" fillId="0" borderId="0" xfId="0" applyNumberFormat="1" applyFont="1" applyFill="1" applyBorder="1"/>
    <xf numFmtId="14" fontId="0" fillId="0" borderId="0" xfId="0" applyNumberFormat="1" applyFont="1" applyFill="1"/>
    <xf numFmtId="0" fontId="0" fillId="0" borderId="0" xfId="0" applyNumberFormat="1" applyFont="1" applyFill="1"/>
    <xf numFmtId="0" fontId="14" fillId="0" borderId="0" xfId="0" applyFont="1" applyFill="1"/>
    <xf numFmtId="44" fontId="2" fillId="0" borderId="0" xfId="2" applyFont="1" applyFill="1" applyBorder="1"/>
    <xf numFmtId="14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1" fillId="0" borderId="0" xfId="0" applyNumberFormat="1" applyFont="1" applyFill="1"/>
    <xf numFmtId="44" fontId="0" fillId="0" borderId="0" xfId="2" applyFont="1" applyFill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0" xfId="2" applyNumberFormat="1" applyFont="1" applyFill="1" applyBorder="1"/>
    <xf numFmtId="0" fontId="1" fillId="0" borderId="0" xfId="2" applyNumberFormat="1" applyFont="1" applyFill="1"/>
    <xf numFmtId="0" fontId="1" fillId="0" borderId="0" xfId="0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8" fillId="0" borderId="5" xfId="5" applyFont="1" applyBorder="1" applyAlignment="1" applyProtection="1">
      <alignment wrapText="1"/>
      <protection hidden="1"/>
    </xf>
    <xf numFmtId="166" fontId="5" fillId="0" borderId="4" xfId="4" applyNumberFormat="1" applyFont="1" applyFill="1" applyBorder="1" applyAlignment="1" applyProtection="1">
      <alignment horizontal="center"/>
      <protection hidden="1"/>
    </xf>
  </cellXfs>
  <cellStyles count="7">
    <cellStyle name="20% - Énfasis2" xfId="3" builtinId="34"/>
    <cellStyle name="20% - Énfasis3" xfId="4" builtinId="38"/>
    <cellStyle name="Millares" xfId="1" builtinId="3"/>
    <cellStyle name="Millares_CONVERTIR" xfId="6"/>
    <cellStyle name="Moneda" xfId="2" builtinId="4"/>
    <cellStyle name="Normal" xfId="0" builtinId="0"/>
    <cellStyle name="Normal_CONVERTIR" xfId="5"/>
  </cellStyles>
  <dxfs count="2">
    <dxf>
      <font>
        <color indexed="9"/>
      </font>
    </dxf>
    <dxf>
      <font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142875</xdr:rowOff>
    </xdr:from>
    <xdr:to>
      <xdr:col>1</xdr:col>
      <xdr:colOff>2028825</xdr:colOff>
      <xdr:row>0</xdr:row>
      <xdr:rowOff>695325</xdr:rowOff>
    </xdr:to>
    <xdr:sp macro="[0]!iniciar" textlink="">
      <xdr:nvSpPr>
        <xdr:cNvPr id="2" name="1 Rectángulo redondeado"/>
        <xdr:cNvSpPr/>
      </xdr:nvSpPr>
      <xdr:spPr>
        <a:xfrm>
          <a:off x="800100" y="142875"/>
          <a:ext cx="1990725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/>
            <a:t>INICIAR</a:t>
          </a:r>
        </a:p>
      </xdr:txBody>
    </xdr:sp>
    <xdr:clientData/>
  </xdr:twoCellAnchor>
  <xdr:twoCellAnchor editAs="absolute">
    <xdr:from>
      <xdr:col>2</xdr:col>
      <xdr:colOff>66675</xdr:colOff>
      <xdr:row>0</xdr:row>
      <xdr:rowOff>123825</xdr:rowOff>
    </xdr:from>
    <xdr:to>
      <xdr:col>3</xdr:col>
      <xdr:colOff>895350</xdr:colOff>
      <xdr:row>0</xdr:row>
      <xdr:rowOff>676275</xdr:rowOff>
    </xdr:to>
    <xdr:sp macro="[0]!copiar" textlink="">
      <xdr:nvSpPr>
        <xdr:cNvPr id="3" name="2 Rectángulo redondeado"/>
        <xdr:cNvSpPr/>
      </xdr:nvSpPr>
      <xdr:spPr>
        <a:xfrm>
          <a:off x="2981325" y="123825"/>
          <a:ext cx="186690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/>
            <a:t>COPIAR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15</xdr:row>
      <xdr:rowOff>114300</xdr:rowOff>
    </xdr:from>
    <xdr:to>
      <xdr:col>0</xdr:col>
      <xdr:colOff>762000</xdr:colOff>
      <xdr:row>15</xdr:row>
      <xdr:rowOff>114300</xdr:rowOff>
    </xdr:to>
    <xdr:sp macro="" textlink="">
      <xdr:nvSpPr>
        <xdr:cNvPr id="2" name="Line 2"/>
        <xdr:cNvSpPr>
          <a:spLocks noChangeShapeType="1"/>
        </xdr:cNvSpPr>
      </xdr:nvSpPr>
      <xdr:spPr bwMode="auto">
        <a:xfrm>
          <a:off x="466725" y="30575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504825</xdr:colOff>
      <xdr:row>2</xdr:row>
      <xdr:rowOff>114300</xdr:rowOff>
    </xdr:from>
    <xdr:to>
      <xdr:col>0</xdr:col>
      <xdr:colOff>819150</xdr:colOff>
      <xdr:row>2</xdr:row>
      <xdr:rowOff>114300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504825" y="581025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78"/>
  <sheetViews>
    <sheetView tabSelected="1" workbookViewId="0"/>
  </sheetViews>
  <sheetFormatPr baseColWidth="10" defaultRowHeight="15" x14ac:dyDescent="0.25"/>
  <cols>
    <col min="1" max="1" width="11.42578125" style="37"/>
    <col min="2" max="2" width="32.28515625" style="38" bestFit="1" customWidth="1"/>
    <col min="3" max="3" width="15.5703125" style="44" bestFit="1" customWidth="1"/>
    <col min="4" max="4" width="67" style="36" bestFit="1" customWidth="1"/>
    <col min="5" max="5" width="15.85546875" style="36" bestFit="1" customWidth="1"/>
    <col min="6" max="6" width="23.42578125" style="48" bestFit="1" customWidth="1"/>
    <col min="7" max="7" width="13.28515625" style="36" bestFit="1" customWidth="1"/>
    <col min="8" max="8" width="28.5703125" style="36" bestFit="1" customWidth="1"/>
    <col min="9" max="9" width="14.5703125" style="36" bestFit="1" customWidth="1"/>
    <col min="10" max="10" width="13.28515625" style="36" bestFit="1" customWidth="1"/>
    <col min="11" max="11" width="11.85546875" style="36" bestFit="1" customWidth="1"/>
    <col min="12" max="16384" width="11.42578125" style="36"/>
  </cols>
  <sheetData>
    <row r="1" spans="1:11" ht="82.5" customHeight="1" x14ac:dyDescent="0.25">
      <c r="A1" s="49" t="s">
        <v>8</v>
      </c>
      <c r="B1" s="50" t="s">
        <v>10</v>
      </c>
      <c r="C1" s="51" t="s">
        <v>9</v>
      </c>
      <c r="D1" s="47" t="s">
        <v>67</v>
      </c>
      <c r="E1" s="47" t="s">
        <v>69</v>
      </c>
      <c r="F1" s="52" t="s">
        <v>70</v>
      </c>
      <c r="G1" s="53" t="s">
        <v>11</v>
      </c>
      <c r="H1" s="53" t="s">
        <v>12</v>
      </c>
    </row>
    <row r="2" spans="1:11" x14ac:dyDescent="0.25">
      <c r="E2" s="39"/>
      <c r="G2" s="40"/>
      <c r="H2" s="40"/>
      <c r="I2" s="38"/>
      <c r="J2" s="38"/>
      <c r="K2" s="38"/>
    </row>
    <row r="3" spans="1:11" x14ac:dyDescent="0.25">
      <c r="E3" s="39"/>
      <c r="G3" s="45"/>
      <c r="H3" s="46"/>
      <c r="I3" s="46"/>
      <c r="J3" s="46"/>
      <c r="K3" s="46"/>
    </row>
    <row r="4" spans="1:11" x14ac:dyDescent="0.25">
      <c r="E4" s="39"/>
      <c r="G4" s="40"/>
      <c r="H4" s="38"/>
      <c r="I4" s="38"/>
      <c r="J4" s="38"/>
      <c r="K4" s="38"/>
    </row>
    <row r="5" spans="1:11" x14ac:dyDescent="0.25">
      <c r="E5" s="39"/>
      <c r="G5" s="40"/>
      <c r="H5" s="38"/>
      <c r="I5" s="44"/>
      <c r="J5" s="40"/>
      <c r="K5" s="40"/>
    </row>
    <row r="6" spans="1:11" x14ac:dyDescent="0.25">
      <c r="E6" s="39"/>
      <c r="G6" s="41"/>
    </row>
    <row r="7" spans="1:11" x14ac:dyDescent="0.25">
      <c r="E7" s="39"/>
      <c r="G7" s="41"/>
    </row>
    <row r="8" spans="1:11" x14ac:dyDescent="0.25">
      <c r="E8" s="39"/>
      <c r="G8" s="41"/>
    </row>
    <row r="9" spans="1:11" x14ac:dyDescent="0.25">
      <c r="E9" s="39"/>
      <c r="G9" s="41"/>
      <c r="H9" s="41"/>
    </row>
    <row r="10" spans="1:11" ht="15" customHeight="1" x14ac:dyDescent="0.25">
      <c r="E10" s="39"/>
      <c r="G10" s="41"/>
    </row>
    <row r="11" spans="1:11" x14ac:dyDescent="0.25">
      <c r="E11" s="39"/>
      <c r="G11" s="41"/>
    </row>
    <row r="12" spans="1:11" x14ac:dyDescent="0.25">
      <c r="E12" s="39"/>
      <c r="G12" s="41"/>
    </row>
    <row r="13" spans="1:11" x14ac:dyDescent="0.25">
      <c r="E13" s="39"/>
      <c r="G13" s="41"/>
      <c r="I13" s="41"/>
    </row>
    <row r="14" spans="1:11" x14ac:dyDescent="0.25">
      <c r="E14" s="39"/>
      <c r="G14" s="41"/>
    </row>
    <row r="15" spans="1:11" x14ac:dyDescent="0.25">
      <c r="E15" s="39"/>
      <c r="G15" s="41"/>
    </row>
    <row r="16" spans="1:11" x14ac:dyDescent="0.25">
      <c r="E16" s="39"/>
      <c r="G16" s="41"/>
      <c r="H16" s="41"/>
    </row>
    <row r="17" spans="5:8" x14ac:dyDescent="0.25">
      <c r="E17" s="39"/>
      <c r="G17" s="41"/>
    </row>
    <row r="18" spans="5:8" x14ac:dyDescent="0.25">
      <c r="E18" s="39"/>
      <c r="G18" s="41"/>
      <c r="H18" s="42"/>
    </row>
    <row r="19" spans="5:8" x14ac:dyDescent="0.25">
      <c r="E19" s="39"/>
      <c r="G19" s="41"/>
      <c r="H19" s="43"/>
    </row>
    <row r="20" spans="5:8" x14ac:dyDescent="0.25">
      <c r="E20" s="39"/>
      <c r="G20" s="41"/>
    </row>
    <row r="21" spans="5:8" x14ac:dyDescent="0.25">
      <c r="E21" s="39"/>
      <c r="G21" s="41"/>
    </row>
    <row r="22" spans="5:8" x14ac:dyDescent="0.25">
      <c r="E22" s="39"/>
      <c r="G22" s="41"/>
    </row>
    <row r="23" spans="5:8" x14ac:dyDescent="0.25">
      <c r="E23" s="39"/>
      <c r="G23" s="41"/>
    </row>
    <row r="24" spans="5:8" x14ac:dyDescent="0.25">
      <c r="E24" s="39"/>
      <c r="G24" s="41"/>
    </row>
    <row r="25" spans="5:8" x14ac:dyDescent="0.25">
      <c r="E25" s="39"/>
      <c r="G25" s="41"/>
    </row>
    <row r="26" spans="5:8" x14ac:dyDescent="0.25">
      <c r="E26" s="39"/>
      <c r="G26" s="41"/>
    </row>
    <row r="27" spans="5:8" x14ac:dyDescent="0.25">
      <c r="E27" s="39"/>
      <c r="G27" s="41"/>
    </row>
    <row r="28" spans="5:8" x14ac:dyDescent="0.25">
      <c r="E28" s="39"/>
      <c r="G28" s="41"/>
    </row>
    <row r="29" spans="5:8" x14ac:dyDescent="0.25">
      <c r="E29" s="39"/>
      <c r="G29" s="41"/>
    </row>
    <row r="30" spans="5:8" x14ac:dyDescent="0.25">
      <c r="E30" s="39"/>
      <c r="G30" s="41"/>
    </row>
    <row r="31" spans="5:8" x14ac:dyDescent="0.25">
      <c r="E31" s="39"/>
      <c r="G31" s="41"/>
    </row>
    <row r="32" spans="5:8" x14ac:dyDescent="0.25">
      <c r="E32" s="39"/>
      <c r="G32" s="41"/>
    </row>
    <row r="33" spans="5:7" x14ac:dyDescent="0.25">
      <c r="E33" s="39"/>
      <c r="G33" s="41"/>
    </row>
    <row r="34" spans="5:7" x14ac:dyDescent="0.25">
      <c r="E34" s="39"/>
      <c r="G34" s="41"/>
    </row>
    <row r="35" spans="5:7" x14ac:dyDescent="0.25">
      <c r="E35" s="39"/>
      <c r="G35" s="41"/>
    </row>
    <row r="36" spans="5:7" x14ac:dyDescent="0.25">
      <c r="E36" s="39"/>
      <c r="G36" s="41"/>
    </row>
    <row r="37" spans="5:7" x14ac:dyDescent="0.25">
      <c r="E37" s="39"/>
      <c r="G37" s="41"/>
    </row>
    <row r="38" spans="5:7" x14ac:dyDescent="0.25">
      <c r="E38" s="39"/>
      <c r="G38" s="41"/>
    </row>
    <row r="39" spans="5:7" x14ac:dyDescent="0.25">
      <c r="E39" s="39"/>
      <c r="G39" s="41"/>
    </row>
    <row r="40" spans="5:7" x14ac:dyDescent="0.25">
      <c r="E40" s="39"/>
      <c r="G40" s="41"/>
    </row>
    <row r="41" spans="5:7" x14ac:dyDescent="0.25">
      <c r="E41" s="39"/>
      <c r="G41" s="41"/>
    </row>
    <row r="42" spans="5:7" x14ac:dyDescent="0.25">
      <c r="E42" s="39"/>
      <c r="G42" s="41"/>
    </row>
    <row r="43" spans="5:7" x14ac:dyDescent="0.25">
      <c r="E43" s="39"/>
      <c r="G43" s="41"/>
    </row>
    <row r="44" spans="5:7" x14ac:dyDescent="0.25">
      <c r="E44" s="39"/>
      <c r="G44" s="41"/>
    </row>
    <row r="45" spans="5:7" x14ac:dyDescent="0.25">
      <c r="E45" s="39"/>
      <c r="G45" s="41"/>
    </row>
    <row r="46" spans="5:7" x14ac:dyDescent="0.25">
      <c r="E46" s="39"/>
      <c r="G46" s="41"/>
    </row>
    <row r="47" spans="5:7" x14ac:dyDescent="0.25">
      <c r="E47" s="39"/>
      <c r="G47" s="41"/>
    </row>
    <row r="48" spans="5:7" x14ac:dyDescent="0.25">
      <c r="E48" s="39"/>
      <c r="G48" s="41"/>
    </row>
    <row r="49" spans="5:7" x14ac:dyDescent="0.25">
      <c r="E49" s="39"/>
      <c r="G49" s="41"/>
    </row>
    <row r="50" spans="5:7" x14ac:dyDescent="0.25">
      <c r="E50" s="39"/>
      <c r="G50" s="41"/>
    </row>
    <row r="51" spans="5:7" x14ac:dyDescent="0.25">
      <c r="E51" s="39"/>
      <c r="G51" s="41"/>
    </row>
    <row r="52" spans="5:7" x14ac:dyDescent="0.25">
      <c r="E52" s="39"/>
      <c r="G52" s="41"/>
    </row>
    <row r="53" spans="5:7" x14ac:dyDescent="0.25">
      <c r="E53" s="39"/>
      <c r="G53" s="41"/>
    </row>
    <row r="54" spans="5:7" x14ac:dyDescent="0.25">
      <c r="E54" s="39"/>
      <c r="G54" s="41"/>
    </row>
    <row r="55" spans="5:7" x14ac:dyDescent="0.25">
      <c r="E55" s="39"/>
      <c r="G55" s="41"/>
    </row>
    <row r="56" spans="5:7" x14ac:dyDescent="0.25">
      <c r="E56" s="39"/>
      <c r="G56" s="41"/>
    </row>
    <row r="57" spans="5:7" x14ac:dyDescent="0.25">
      <c r="E57" s="39"/>
      <c r="G57" s="41"/>
    </row>
    <row r="58" spans="5:7" x14ac:dyDescent="0.25">
      <c r="E58" s="39"/>
      <c r="G58" s="41"/>
    </row>
    <row r="59" spans="5:7" x14ac:dyDescent="0.25">
      <c r="E59" s="39"/>
      <c r="G59" s="41"/>
    </row>
    <row r="60" spans="5:7" x14ac:dyDescent="0.25">
      <c r="E60" s="39"/>
      <c r="G60" s="41"/>
    </row>
    <row r="61" spans="5:7" x14ac:dyDescent="0.25">
      <c r="E61" s="39"/>
      <c r="G61" s="41"/>
    </row>
    <row r="62" spans="5:7" x14ac:dyDescent="0.25">
      <c r="E62" s="39"/>
      <c r="G62" s="41"/>
    </row>
    <row r="63" spans="5:7" x14ac:dyDescent="0.25">
      <c r="E63" s="39"/>
      <c r="G63" s="41"/>
    </row>
    <row r="64" spans="5:7" x14ac:dyDescent="0.25">
      <c r="E64" s="39"/>
      <c r="G64" s="41"/>
    </row>
    <row r="65" spans="5:7" x14ac:dyDescent="0.25">
      <c r="E65" s="39"/>
      <c r="G65" s="41"/>
    </row>
    <row r="66" spans="5:7" x14ac:dyDescent="0.25">
      <c r="E66" s="39"/>
      <c r="G66" s="41"/>
    </row>
    <row r="67" spans="5:7" x14ac:dyDescent="0.25">
      <c r="E67" s="39"/>
      <c r="G67" s="41"/>
    </row>
    <row r="68" spans="5:7" x14ac:dyDescent="0.25">
      <c r="E68" s="39"/>
      <c r="G68" s="41"/>
    </row>
    <row r="69" spans="5:7" x14ac:dyDescent="0.25">
      <c r="E69" s="39"/>
      <c r="G69" s="41"/>
    </row>
    <row r="70" spans="5:7" x14ac:dyDescent="0.25">
      <c r="E70" s="39"/>
      <c r="G70" s="41"/>
    </row>
    <row r="71" spans="5:7" x14ac:dyDescent="0.25">
      <c r="E71" s="39"/>
      <c r="G71" s="41"/>
    </row>
    <row r="72" spans="5:7" x14ac:dyDescent="0.25">
      <c r="E72" s="39"/>
      <c r="G72" s="41"/>
    </row>
    <row r="73" spans="5:7" x14ac:dyDescent="0.25">
      <c r="E73" s="39"/>
      <c r="G73" s="41"/>
    </row>
    <row r="74" spans="5:7" x14ac:dyDescent="0.25">
      <c r="E74" s="39"/>
      <c r="G74" s="41"/>
    </row>
    <row r="75" spans="5:7" x14ac:dyDescent="0.25">
      <c r="E75" s="39"/>
      <c r="G75" s="41"/>
    </row>
    <row r="76" spans="5:7" x14ac:dyDescent="0.25">
      <c r="E76" s="39"/>
      <c r="G76" s="41"/>
    </row>
    <row r="77" spans="5:7" x14ac:dyDescent="0.25">
      <c r="E77" s="39"/>
      <c r="G77" s="41"/>
    </row>
    <row r="78" spans="5:7" x14ac:dyDescent="0.25">
      <c r="E78" s="39"/>
      <c r="G78" s="4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zoomScaleNormal="100" workbookViewId="0">
      <selection sqref="A1:I1"/>
    </sheetView>
  </sheetViews>
  <sheetFormatPr baseColWidth="10" defaultRowHeight="15" x14ac:dyDescent="0.25"/>
  <cols>
    <col min="3" max="3" width="13.140625" bestFit="1" customWidth="1"/>
  </cols>
  <sheetData>
    <row r="1" spans="1:9" x14ac:dyDescent="0.25">
      <c r="A1" s="55" t="s">
        <v>0</v>
      </c>
      <c r="B1" s="55"/>
      <c r="C1" s="55"/>
      <c r="D1" s="55"/>
      <c r="E1" s="55"/>
      <c r="F1" s="55"/>
      <c r="G1" s="55"/>
      <c r="H1" s="55"/>
      <c r="I1" s="55"/>
    </row>
    <row r="2" spans="1:9" x14ac:dyDescent="0.25">
      <c r="A2" s="55" t="s">
        <v>1</v>
      </c>
      <c r="B2" s="55"/>
      <c r="C2" s="55"/>
      <c r="D2" s="55"/>
      <c r="E2" s="55"/>
      <c r="F2" s="55"/>
      <c r="G2" s="55"/>
      <c r="H2" s="55"/>
      <c r="I2" s="55"/>
    </row>
    <row r="3" spans="1:9" x14ac:dyDescent="0.25">
      <c r="A3" s="55" t="s">
        <v>2</v>
      </c>
      <c r="B3" s="55"/>
      <c r="C3" s="55"/>
      <c r="D3" s="55"/>
      <c r="E3" s="55"/>
      <c r="F3" s="55"/>
      <c r="G3" s="55"/>
      <c r="H3" s="55"/>
      <c r="I3" s="55"/>
    </row>
    <row r="4" spans="1:9" x14ac:dyDescent="0.25">
      <c r="A4" s="55" t="s">
        <v>3</v>
      </c>
      <c r="B4" s="55"/>
      <c r="C4" s="55"/>
      <c r="D4" s="55"/>
      <c r="E4" s="55"/>
      <c r="F4" s="55"/>
      <c r="G4" s="55"/>
      <c r="H4" s="55"/>
      <c r="I4" s="55"/>
    </row>
    <row r="7" spans="1:9" x14ac:dyDescent="0.25">
      <c r="A7" s="55" t="s">
        <v>4</v>
      </c>
      <c r="B7" s="55"/>
      <c r="C7" s="55"/>
      <c r="D7" s="55"/>
      <c r="E7" s="55"/>
      <c r="F7" s="55"/>
      <c r="G7" s="55"/>
      <c r="H7" s="55"/>
      <c r="I7" s="55"/>
    </row>
    <row r="9" spans="1:9" ht="15" customHeight="1" x14ac:dyDescent="0.25">
      <c r="A9" s="56" t="s">
        <v>71</v>
      </c>
      <c r="B9" s="56"/>
      <c r="C9" s="56"/>
      <c r="D9" s="56"/>
      <c r="E9" s="56"/>
      <c r="F9" s="56"/>
      <c r="G9" s="56"/>
      <c r="H9" s="56"/>
      <c r="I9" s="56"/>
    </row>
    <row r="10" spans="1:9" x14ac:dyDescent="0.25">
      <c r="A10" s="56"/>
      <c r="B10" s="56"/>
      <c r="C10" s="56"/>
      <c r="D10" s="56"/>
      <c r="E10" s="56"/>
      <c r="F10" s="56"/>
      <c r="G10" s="56"/>
      <c r="H10" s="56"/>
      <c r="I10" s="56"/>
    </row>
    <row r="11" spans="1:9" x14ac:dyDescent="0.25">
      <c r="A11" s="56"/>
      <c r="B11" s="56"/>
      <c r="C11" s="56"/>
      <c r="D11" s="56"/>
      <c r="E11" s="56"/>
      <c r="F11" s="56"/>
      <c r="G11" s="56"/>
      <c r="H11" s="56"/>
      <c r="I11" s="56"/>
    </row>
    <row r="12" spans="1:9" x14ac:dyDescent="0.25">
      <c r="A12" s="56"/>
      <c r="B12" s="56"/>
      <c r="C12" s="56"/>
      <c r="D12" s="56"/>
      <c r="E12" s="56"/>
      <c r="F12" s="56"/>
      <c r="G12" s="56"/>
      <c r="H12" s="56"/>
      <c r="I12" s="56"/>
    </row>
    <row r="16" spans="1:9" x14ac:dyDescent="0.25">
      <c r="A16" t="s">
        <v>5</v>
      </c>
      <c r="C16" s="1">
        <v>2500000</v>
      </c>
    </row>
    <row r="19" spans="1:3" x14ac:dyDescent="0.25">
      <c r="A19" t="s">
        <v>6</v>
      </c>
    </row>
    <row r="21" spans="1:3" x14ac:dyDescent="0.25">
      <c r="A21" t="s">
        <v>7</v>
      </c>
    </row>
    <row r="23" spans="1:3" x14ac:dyDescent="0.25">
      <c r="A23" s="54" t="s">
        <v>68</v>
      </c>
      <c r="B23" s="54"/>
      <c r="C23" s="54"/>
    </row>
  </sheetData>
  <mergeCells count="7">
    <mergeCell ref="A23:C23"/>
    <mergeCell ref="A1:I1"/>
    <mergeCell ref="A2:I2"/>
    <mergeCell ref="A3:I3"/>
    <mergeCell ref="A4:I4"/>
    <mergeCell ref="A7:I7"/>
    <mergeCell ref="A9:I1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1"/>
  <sheetViews>
    <sheetView workbookViewId="0">
      <selection activeCell="B16" sqref="B16"/>
    </sheetView>
  </sheetViews>
  <sheetFormatPr baseColWidth="10" defaultColWidth="12.5703125" defaultRowHeight="15" x14ac:dyDescent="0.25"/>
  <cols>
    <col min="1" max="1" width="18.28515625" style="2" customWidth="1"/>
    <col min="2" max="2" width="22.7109375" style="2" customWidth="1"/>
    <col min="3" max="3" width="12.140625" style="2" customWidth="1"/>
    <col min="4" max="4" width="12.42578125" style="2" customWidth="1"/>
    <col min="5" max="5" width="18.140625" style="2" customWidth="1"/>
    <col min="6" max="12" width="8.85546875" style="35" customWidth="1"/>
    <col min="13" max="13" width="13.7109375" style="35" customWidth="1"/>
    <col min="14" max="17" width="12.5703125" style="2" customWidth="1"/>
    <col min="18" max="18" width="7.85546875" style="2" customWidth="1"/>
    <col min="19" max="256" width="12.5703125" style="2"/>
    <col min="257" max="257" width="18.28515625" style="2" customWidth="1"/>
    <col min="258" max="258" width="22.7109375" style="2" customWidth="1"/>
    <col min="259" max="259" width="12.140625" style="2" customWidth="1"/>
    <col min="260" max="260" width="12.42578125" style="2" customWidth="1"/>
    <col min="261" max="261" width="18.140625" style="2" customWidth="1"/>
    <col min="262" max="268" width="8.85546875" style="2" customWidth="1"/>
    <col min="269" max="269" width="13.7109375" style="2" customWidth="1"/>
    <col min="270" max="273" width="12.5703125" style="2" customWidth="1"/>
    <col min="274" max="274" width="7.85546875" style="2" customWidth="1"/>
    <col min="275" max="512" width="12.5703125" style="2"/>
    <col min="513" max="513" width="18.28515625" style="2" customWidth="1"/>
    <col min="514" max="514" width="22.7109375" style="2" customWidth="1"/>
    <col min="515" max="515" width="12.140625" style="2" customWidth="1"/>
    <col min="516" max="516" width="12.42578125" style="2" customWidth="1"/>
    <col min="517" max="517" width="18.140625" style="2" customWidth="1"/>
    <col min="518" max="524" width="8.85546875" style="2" customWidth="1"/>
    <col min="525" max="525" width="13.7109375" style="2" customWidth="1"/>
    <col min="526" max="529" width="12.5703125" style="2" customWidth="1"/>
    <col min="530" max="530" width="7.85546875" style="2" customWidth="1"/>
    <col min="531" max="768" width="12.5703125" style="2"/>
    <col min="769" max="769" width="18.28515625" style="2" customWidth="1"/>
    <col min="770" max="770" width="22.7109375" style="2" customWidth="1"/>
    <col min="771" max="771" width="12.140625" style="2" customWidth="1"/>
    <col min="772" max="772" width="12.42578125" style="2" customWidth="1"/>
    <col min="773" max="773" width="18.140625" style="2" customWidth="1"/>
    <col min="774" max="780" width="8.85546875" style="2" customWidth="1"/>
    <col min="781" max="781" width="13.7109375" style="2" customWidth="1"/>
    <col min="782" max="785" width="12.5703125" style="2" customWidth="1"/>
    <col min="786" max="786" width="7.85546875" style="2" customWidth="1"/>
    <col min="787" max="1024" width="12.5703125" style="2"/>
    <col min="1025" max="1025" width="18.28515625" style="2" customWidth="1"/>
    <col min="1026" max="1026" width="22.7109375" style="2" customWidth="1"/>
    <col min="1027" max="1027" width="12.140625" style="2" customWidth="1"/>
    <col min="1028" max="1028" width="12.42578125" style="2" customWidth="1"/>
    <col min="1029" max="1029" width="18.140625" style="2" customWidth="1"/>
    <col min="1030" max="1036" width="8.85546875" style="2" customWidth="1"/>
    <col min="1037" max="1037" width="13.7109375" style="2" customWidth="1"/>
    <col min="1038" max="1041" width="12.5703125" style="2" customWidth="1"/>
    <col min="1042" max="1042" width="7.85546875" style="2" customWidth="1"/>
    <col min="1043" max="1280" width="12.5703125" style="2"/>
    <col min="1281" max="1281" width="18.28515625" style="2" customWidth="1"/>
    <col min="1282" max="1282" width="22.7109375" style="2" customWidth="1"/>
    <col min="1283" max="1283" width="12.140625" style="2" customWidth="1"/>
    <col min="1284" max="1284" width="12.42578125" style="2" customWidth="1"/>
    <col min="1285" max="1285" width="18.140625" style="2" customWidth="1"/>
    <col min="1286" max="1292" width="8.85546875" style="2" customWidth="1"/>
    <col min="1293" max="1293" width="13.7109375" style="2" customWidth="1"/>
    <col min="1294" max="1297" width="12.5703125" style="2" customWidth="1"/>
    <col min="1298" max="1298" width="7.85546875" style="2" customWidth="1"/>
    <col min="1299" max="1536" width="12.5703125" style="2"/>
    <col min="1537" max="1537" width="18.28515625" style="2" customWidth="1"/>
    <col min="1538" max="1538" width="22.7109375" style="2" customWidth="1"/>
    <col min="1539" max="1539" width="12.140625" style="2" customWidth="1"/>
    <col min="1540" max="1540" width="12.42578125" style="2" customWidth="1"/>
    <col min="1541" max="1541" width="18.140625" style="2" customWidth="1"/>
    <col min="1542" max="1548" width="8.85546875" style="2" customWidth="1"/>
    <col min="1549" max="1549" width="13.7109375" style="2" customWidth="1"/>
    <col min="1550" max="1553" width="12.5703125" style="2" customWidth="1"/>
    <col min="1554" max="1554" width="7.85546875" style="2" customWidth="1"/>
    <col min="1555" max="1792" width="12.5703125" style="2"/>
    <col min="1793" max="1793" width="18.28515625" style="2" customWidth="1"/>
    <col min="1794" max="1794" width="22.7109375" style="2" customWidth="1"/>
    <col min="1795" max="1795" width="12.140625" style="2" customWidth="1"/>
    <col min="1796" max="1796" width="12.42578125" style="2" customWidth="1"/>
    <col min="1797" max="1797" width="18.140625" style="2" customWidth="1"/>
    <col min="1798" max="1804" width="8.85546875" style="2" customWidth="1"/>
    <col min="1805" max="1805" width="13.7109375" style="2" customWidth="1"/>
    <col min="1806" max="1809" width="12.5703125" style="2" customWidth="1"/>
    <col min="1810" max="1810" width="7.85546875" style="2" customWidth="1"/>
    <col min="1811" max="2048" width="12.5703125" style="2"/>
    <col min="2049" max="2049" width="18.28515625" style="2" customWidth="1"/>
    <col min="2050" max="2050" width="22.7109375" style="2" customWidth="1"/>
    <col min="2051" max="2051" width="12.140625" style="2" customWidth="1"/>
    <col min="2052" max="2052" width="12.42578125" style="2" customWidth="1"/>
    <col min="2053" max="2053" width="18.140625" style="2" customWidth="1"/>
    <col min="2054" max="2060" width="8.85546875" style="2" customWidth="1"/>
    <col min="2061" max="2061" width="13.7109375" style="2" customWidth="1"/>
    <col min="2062" max="2065" width="12.5703125" style="2" customWidth="1"/>
    <col min="2066" max="2066" width="7.85546875" style="2" customWidth="1"/>
    <col min="2067" max="2304" width="12.5703125" style="2"/>
    <col min="2305" max="2305" width="18.28515625" style="2" customWidth="1"/>
    <col min="2306" max="2306" width="22.7109375" style="2" customWidth="1"/>
    <col min="2307" max="2307" width="12.140625" style="2" customWidth="1"/>
    <col min="2308" max="2308" width="12.42578125" style="2" customWidth="1"/>
    <col min="2309" max="2309" width="18.140625" style="2" customWidth="1"/>
    <col min="2310" max="2316" width="8.85546875" style="2" customWidth="1"/>
    <col min="2317" max="2317" width="13.7109375" style="2" customWidth="1"/>
    <col min="2318" max="2321" width="12.5703125" style="2" customWidth="1"/>
    <col min="2322" max="2322" width="7.85546875" style="2" customWidth="1"/>
    <col min="2323" max="2560" width="12.5703125" style="2"/>
    <col min="2561" max="2561" width="18.28515625" style="2" customWidth="1"/>
    <col min="2562" max="2562" width="22.7109375" style="2" customWidth="1"/>
    <col min="2563" max="2563" width="12.140625" style="2" customWidth="1"/>
    <col min="2564" max="2564" width="12.42578125" style="2" customWidth="1"/>
    <col min="2565" max="2565" width="18.140625" style="2" customWidth="1"/>
    <col min="2566" max="2572" width="8.85546875" style="2" customWidth="1"/>
    <col min="2573" max="2573" width="13.7109375" style="2" customWidth="1"/>
    <col min="2574" max="2577" width="12.5703125" style="2" customWidth="1"/>
    <col min="2578" max="2578" width="7.85546875" style="2" customWidth="1"/>
    <col min="2579" max="2816" width="12.5703125" style="2"/>
    <col min="2817" max="2817" width="18.28515625" style="2" customWidth="1"/>
    <col min="2818" max="2818" width="22.7109375" style="2" customWidth="1"/>
    <col min="2819" max="2819" width="12.140625" style="2" customWidth="1"/>
    <col min="2820" max="2820" width="12.42578125" style="2" customWidth="1"/>
    <col min="2821" max="2821" width="18.140625" style="2" customWidth="1"/>
    <col min="2822" max="2828" width="8.85546875" style="2" customWidth="1"/>
    <col min="2829" max="2829" width="13.7109375" style="2" customWidth="1"/>
    <col min="2830" max="2833" width="12.5703125" style="2" customWidth="1"/>
    <col min="2834" max="2834" width="7.85546875" style="2" customWidth="1"/>
    <col min="2835" max="3072" width="12.5703125" style="2"/>
    <col min="3073" max="3073" width="18.28515625" style="2" customWidth="1"/>
    <col min="3074" max="3074" width="22.7109375" style="2" customWidth="1"/>
    <col min="3075" max="3075" width="12.140625" style="2" customWidth="1"/>
    <col min="3076" max="3076" width="12.42578125" style="2" customWidth="1"/>
    <col min="3077" max="3077" width="18.140625" style="2" customWidth="1"/>
    <col min="3078" max="3084" width="8.85546875" style="2" customWidth="1"/>
    <col min="3085" max="3085" width="13.7109375" style="2" customWidth="1"/>
    <col min="3086" max="3089" width="12.5703125" style="2" customWidth="1"/>
    <col min="3090" max="3090" width="7.85546875" style="2" customWidth="1"/>
    <col min="3091" max="3328" width="12.5703125" style="2"/>
    <col min="3329" max="3329" width="18.28515625" style="2" customWidth="1"/>
    <col min="3330" max="3330" width="22.7109375" style="2" customWidth="1"/>
    <col min="3331" max="3331" width="12.140625" style="2" customWidth="1"/>
    <col min="3332" max="3332" width="12.42578125" style="2" customWidth="1"/>
    <col min="3333" max="3333" width="18.140625" style="2" customWidth="1"/>
    <col min="3334" max="3340" width="8.85546875" style="2" customWidth="1"/>
    <col min="3341" max="3341" width="13.7109375" style="2" customWidth="1"/>
    <col min="3342" max="3345" width="12.5703125" style="2" customWidth="1"/>
    <col min="3346" max="3346" width="7.85546875" style="2" customWidth="1"/>
    <col min="3347" max="3584" width="12.5703125" style="2"/>
    <col min="3585" max="3585" width="18.28515625" style="2" customWidth="1"/>
    <col min="3586" max="3586" width="22.7109375" style="2" customWidth="1"/>
    <col min="3587" max="3587" width="12.140625" style="2" customWidth="1"/>
    <col min="3588" max="3588" width="12.42578125" style="2" customWidth="1"/>
    <col min="3589" max="3589" width="18.140625" style="2" customWidth="1"/>
    <col min="3590" max="3596" width="8.85546875" style="2" customWidth="1"/>
    <col min="3597" max="3597" width="13.7109375" style="2" customWidth="1"/>
    <col min="3598" max="3601" width="12.5703125" style="2" customWidth="1"/>
    <col min="3602" max="3602" width="7.85546875" style="2" customWidth="1"/>
    <col min="3603" max="3840" width="12.5703125" style="2"/>
    <col min="3841" max="3841" width="18.28515625" style="2" customWidth="1"/>
    <col min="3842" max="3842" width="22.7109375" style="2" customWidth="1"/>
    <col min="3843" max="3843" width="12.140625" style="2" customWidth="1"/>
    <col min="3844" max="3844" width="12.42578125" style="2" customWidth="1"/>
    <col min="3845" max="3845" width="18.140625" style="2" customWidth="1"/>
    <col min="3846" max="3852" width="8.85546875" style="2" customWidth="1"/>
    <col min="3853" max="3853" width="13.7109375" style="2" customWidth="1"/>
    <col min="3854" max="3857" width="12.5703125" style="2" customWidth="1"/>
    <col min="3858" max="3858" width="7.85546875" style="2" customWidth="1"/>
    <col min="3859" max="4096" width="12.5703125" style="2"/>
    <col min="4097" max="4097" width="18.28515625" style="2" customWidth="1"/>
    <col min="4098" max="4098" width="22.7109375" style="2" customWidth="1"/>
    <col min="4099" max="4099" width="12.140625" style="2" customWidth="1"/>
    <col min="4100" max="4100" width="12.42578125" style="2" customWidth="1"/>
    <col min="4101" max="4101" width="18.140625" style="2" customWidth="1"/>
    <col min="4102" max="4108" width="8.85546875" style="2" customWidth="1"/>
    <col min="4109" max="4109" width="13.7109375" style="2" customWidth="1"/>
    <col min="4110" max="4113" width="12.5703125" style="2" customWidth="1"/>
    <col min="4114" max="4114" width="7.85546875" style="2" customWidth="1"/>
    <col min="4115" max="4352" width="12.5703125" style="2"/>
    <col min="4353" max="4353" width="18.28515625" style="2" customWidth="1"/>
    <col min="4354" max="4354" width="22.7109375" style="2" customWidth="1"/>
    <col min="4355" max="4355" width="12.140625" style="2" customWidth="1"/>
    <col min="4356" max="4356" width="12.42578125" style="2" customWidth="1"/>
    <col min="4357" max="4357" width="18.140625" style="2" customWidth="1"/>
    <col min="4358" max="4364" width="8.85546875" style="2" customWidth="1"/>
    <col min="4365" max="4365" width="13.7109375" style="2" customWidth="1"/>
    <col min="4366" max="4369" width="12.5703125" style="2" customWidth="1"/>
    <col min="4370" max="4370" width="7.85546875" style="2" customWidth="1"/>
    <col min="4371" max="4608" width="12.5703125" style="2"/>
    <col min="4609" max="4609" width="18.28515625" style="2" customWidth="1"/>
    <col min="4610" max="4610" width="22.7109375" style="2" customWidth="1"/>
    <col min="4611" max="4611" width="12.140625" style="2" customWidth="1"/>
    <col min="4612" max="4612" width="12.42578125" style="2" customWidth="1"/>
    <col min="4613" max="4613" width="18.140625" style="2" customWidth="1"/>
    <col min="4614" max="4620" width="8.85546875" style="2" customWidth="1"/>
    <col min="4621" max="4621" width="13.7109375" style="2" customWidth="1"/>
    <col min="4622" max="4625" width="12.5703125" style="2" customWidth="1"/>
    <col min="4626" max="4626" width="7.85546875" style="2" customWidth="1"/>
    <col min="4627" max="4864" width="12.5703125" style="2"/>
    <col min="4865" max="4865" width="18.28515625" style="2" customWidth="1"/>
    <col min="4866" max="4866" width="22.7109375" style="2" customWidth="1"/>
    <col min="4867" max="4867" width="12.140625" style="2" customWidth="1"/>
    <col min="4868" max="4868" width="12.42578125" style="2" customWidth="1"/>
    <col min="4869" max="4869" width="18.140625" style="2" customWidth="1"/>
    <col min="4870" max="4876" width="8.85546875" style="2" customWidth="1"/>
    <col min="4877" max="4877" width="13.7109375" style="2" customWidth="1"/>
    <col min="4878" max="4881" width="12.5703125" style="2" customWidth="1"/>
    <col min="4882" max="4882" width="7.85546875" style="2" customWidth="1"/>
    <col min="4883" max="5120" width="12.5703125" style="2"/>
    <col min="5121" max="5121" width="18.28515625" style="2" customWidth="1"/>
    <col min="5122" max="5122" width="22.7109375" style="2" customWidth="1"/>
    <col min="5123" max="5123" width="12.140625" style="2" customWidth="1"/>
    <col min="5124" max="5124" width="12.42578125" style="2" customWidth="1"/>
    <col min="5125" max="5125" width="18.140625" style="2" customWidth="1"/>
    <col min="5126" max="5132" width="8.85546875" style="2" customWidth="1"/>
    <col min="5133" max="5133" width="13.7109375" style="2" customWidth="1"/>
    <col min="5134" max="5137" width="12.5703125" style="2" customWidth="1"/>
    <col min="5138" max="5138" width="7.85546875" style="2" customWidth="1"/>
    <col min="5139" max="5376" width="12.5703125" style="2"/>
    <col min="5377" max="5377" width="18.28515625" style="2" customWidth="1"/>
    <col min="5378" max="5378" width="22.7109375" style="2" customWidth="1"/>
    <col min="5379" max="5379" width="12.140625" style="2" customWidth="1"/>
    <col min="5380" max="5380" width="12.42578125" style="2" customWidth="1"/>
    <col min="5381" max="5381" width="18.140625" style="2" customWidth="1"/>
    <col min="5382" max="5388" width="8.85546875" style="2" customWidth="1"/>
    <col min="5389" max="5389" width="13.7109375" style="2" customWidth="1"/>
    <col min="5390" max="5393" width="12.5703125" style="2" customWidth="1"/>
    <col min="5394" max="5394" width="7.85546875" style="2" customWidth="1"/>
    <col min="5395" max="5632" width="12.5703125" style="2"/>
    <col min="5633" max="5633" width="18.28515625" style="2" customWidth="1"/>
    <col min="5634" max="5634" width="22.7109375" style="2" customWidth="1"/>
    <col min="5635" max="5635" width="12.140625" style="2" customWidth="1"/>
    <col min="5636" max="5636" width="12.42578125" style="2" customWidth="1"/>
    <col min="5637" max="5637" width="18.140625" style="2" customWidth="1"/>
    <col min="5638" max="5644" width="8.85546875" style="2" customWidth="1"/>
    <col min="5645" max="5645" width="13.7109375" style="2" customWidth="1"/>
    <col min="5646" max="5649" width="12.5703125" style="2" customWidth="1"/>
    <col min="5650" max="5650" width="7.85546875" style="2" customWidth="1"/>
    <col min="5651" max="5888" width="12.5703125" style="2"/>
    <col min="5889" max="5889" width="18.28515625" style="2" customWidth="1"/>
    <col min="5890" max="5890" width="22.7109375" style="2" customWidth="1"/>
    <col min="5891" max="5891" width="12.140625" style="2" customWidth="1"/>
    <col min="5892" max="5892" width="12.42578125" style="2" customWidth="1"/>
    <col min="5893" max="5893" width="18.140625" style="2" customWidth="1"/>
    <col min="5894" max="5900" width="8.85546875" style="2" customWidth="1"/>
    <col min="5901" max="5901" width="13.7109375" style="2" customWidth="1"/>
    <col min="5902" max="5905" width="12.5703125" style="2" customWidth="1"/>
    <col min="5906" max="5906" width="7.85546875" style="2" customWidth="1"/>
    <col min="5907" max="6144" width="12.5703125" style="2"/>
    <col min="6145" max="6145" width="18.28515625" style="2" customWidth="1"/>
    <col min="6146" max="6146" width="22.7109375" style="2" customWidth="1"/>
    <col min="6147" max="6147" width="12.140625" style="2" customWidth="1"/>
    <col min="6148" max="6148" width="12.42578125" style="2" customWidth="1"/>
    <col min="6149" max="6149" width="18.140625" style="2" customWidth="1"/>
    <col min="6150" max="6156" width="8.85546875" style="2" customWidth="1"/>
    <col min="6157" max="6157" width="13.7109375" style="2" customWidth="1"/>
    <col min="6158" max="6161" width="12.5703125" style="2" customWidth="1"/>
    <col min="6162" max="6162" width="7.85546875" style="2" customWidth="1"/>
    <col min="6163" max="6400" width="12.5703125" style="2"/>
    <col min="6401" max="6401" width="18.28515625" style="2" customWidth="1"/>
    <col min="6402" max="6402" width="22.7109375" style="2" customWidth="1"/>
    <col min="6403" max="6403" width="12.140625" style="2" customWidth="1"/>
    <col min="6404" max="6404" width="12.42578125" style="2" customWidth="1"/>
    <col min="6405" max="6405" width="18.140625" style="2" customWidth="1"/>
    <col min="6406" max="6412" width="8.85546875" style="2" customWidth="1"/>
    <col min="6413" max="6413" width="13.7109375" style="2" customWidth="1"/>
    <col min="6414" max="6417" width="12.5703125" style="2" customWidth="1"/>
    <col min="6418" max="6418" width="7.85546875" style="2" customWidth="1"/>
    <col min="6419" max="6656" width="12.5703125" style="2"/>
    <col min="6657" max="6657" width="18.28515625" style="2" customWidth="1"/>
    <col min="6658" max="6658" width="22.7109375" style="2" customWidth="1"/>
    <col min="6659" max="6659" width="12.140625" style="2" customWidth="1"/>
    <col min="6660" max="6660" width="12.42578125" style="2" customWidth="1"/>
    <col min="6661" max="6661" width="18.140625" style="2" customWidth="1"/>
    <col min="6662" max="6668" width="8.85546875" style="2" customWidth="1"/>
    <col min="6669" max="6669" width="13.7109375" style="2" customWidth="1"/>
    <col min="6670" max="6673" width="12.5703125" style="2" customWidth="1"/>
    <col min="6674" max="6674" width="7.85546875" style="2" customWidth="1"/>
    <col min="6675" max="6912" width="12.5703125" style="2"/>
    <col min="6913" max="6913" width="18.28515625" style="2" customWidth="1"/>
    <col min="6914" max="6914" width="22.7109375" style="2" customWidth="1"/>
    <col min="6915" max="6915" width="12.140625" style="2" customWidth="1"/>
    <col min="6916" max="6916" width="12.42578125" style="2" customWidth="1"/>
    <col min="6917" max="6917" width="18.140625" style="2" customWidth="1"/>
    <col min="6918" max="6924" width="8.85546875" style="2" customWidth="1"/>
    <col min="6925" max="6925" width="13.7109375" style="2" customWidth="1"/>
    <col min="6926" max="6929" width="12.5703125" style="2" customWidth="1"/>
    <col min="6930" max="6930" width="7.85546875" style="2" customWidth="1"/>
    <col min="6931" max="7168" width="12.5703125" style="2"/>
    <col min="7169" max="7169" width="18.28515625" style="2" customWidth="1"/>
    <col min="7170" max="7170" width="22.7109375" style="2" customWidth="1"/>
    <col min="7171" max="7171" width="12.140625" style="2" customWidth="1"/>
    <col min="7172" max="7172" width="12.42578125" style="2" customWidth="1"/>
    <col min="7173" max="7173" width="18.140625" style="2" customWidth="1"/>
    <col min="7174" max="7180" width="8.85546875" style="2" customWidth="1"/>
    <col min="7181" max="7181" width="13.7109375" style="2" customWidth="1"/>
    <col min="7182" max="7185" width="12.5703125" style="2" customWidth="1"/>
    <col min="7186" max="7186" width="7.85546875" style="2" customWidth="1"/>
    <col min="7187" max="7424" width="12.5703125" style="2"/>
    <col min="7425" max="7425" width="18.28515625" style="2" customWidth="1"/>
    <col min="7426" max="7426" width="22.7109375" style="2" customWidth="1"/>
    <col min="7427" max="7427" width="12.140625" style="2" customWidth="1"/>
    <col min="7428" max="7428" width="12.42578125" style="2" customWidth="1"/>
    <col min="7429" max="7429" width="18.140625" style="2" customWidth="1"/>
    <col min="7430" max="7436" width="8.85546875" style="2" customWidth="1"/>
    <col min="7437" max="7437" width="13.7109375" style="2" customWidth="1"/>
    <col min="7438" max="7441" width="12.5703125" style="2" customWidth="1"/>
    <col min="7442" max="7442" width="7.85546875" style="2" customWidth="1"/>
    <col min="7443" max="7680" width="12.5703125" style="2"/>
    <col min="7681" max="7681" width="18.28515625" style="2" customWidth="1"/>
    <col min="7682" max="7682" width="22.7109375" style="2" customWidth="1"/>
    <col min="7683" max="7683" width="12.140625" style="2" customWidth="1"/>
    <col min="7684" max="7684" width="12.42578125" style="2" customWidth="1"/>
    <col min="7685" max="7685" width="18.140625" style="2" customWidth="1"/>
    <col min="7686" max="7692" width="8.85546875" style="2" customWidth="1"/>
    <col min="7693" max="7693" width="13.7109375" style="2" customWidth="1"/>
    <col min="7694" max="7697" width="12.5703125" style="2" customWidth="1"/>
    <col min="7698" max="7698" width="7.85546875" style="2" customWidth="1"/>
    <col min="7699" max="7936" width="12.5703125" style="2"/>
    <col min="7937" max="7937" width="18.28515625" style="2" customWidth="1"/>
    <col min="7938" max="7938" width="22.7109375" style="2" customWidth="1"/>
    <col min="7939" max="7939" width="12.140625" style="2" customWidth="1"/>
    <col min="7940" max="7940" width="12.42578125" style="2" customWidth="1"/>
    <col min="7941" max="7941" width="18.140625" style="2" customWidth="1"/>
    <col min="7942" max="7948" width="8.85546875" style="2" customWidth="1"/>
    <col min="7949" max="7949" width="13.7109375" style="2" customWidth="1"/>
    <col min="7950" max="7953" width="12.5703125" style="2" customWidth="1"/>
    <col min="7954" max="7954" width="7.85546875" style="2" customWidth="1"/>
    <col min="7955" max="8192" width="12.5703125" style="2"/>
    <col min="8193" max="8193" width="18.28515625" style="2" customWidth="1"/>
    <col min="8194" max="8194" width="22.7109375" style="2" customWidth="1"/>
    <col min="8195" max="8195" width="12.140625" style="2" customWidth="1"/>
    <col min="8196" max="8196" width="12.42578125" style="2" customWidth="1"/>
    <col min="8197" max="8197" width="18.140625" style="2" customWidth="1"/>
    <col min="8198" max="8204" width="8.85546875" style="2" customWidth="1"/>
    <col min="8205" max="8205" width="13.7109375" style="2" customWidth="1"/>
    <col min="8206" max="8209" width="12.5703125" style="2" customWidth="1"/>
    <col min="8210" max="8210" width="7.85546875" style="2" customWidth="1"/>
    <col min="8211" max="8448" width="12.5703125" style="2"/>
    <col min="8449" max="8449" width="18.28515625" style="2" customWidth="1"/>
    <col min="8450" max="8450" width="22.7109375" style="2" customWidth="1"/>
    <col min="8451" max="8451" width="12.140625" style="2" customWidth="1"/>
    <col min="8452" max="8452" width="12.42578125" style="2" customWidth="1"/>
    <col min="8453" max="8453" width="18.140625" style="2" customWidth="1"/>
    <col min="8454" max="8460" width="8.85546875" style="2" customWidth="1"/>
    <col min="8461" max="8461" width="13.7109375" style="2" customWidth="1"/>
    <col min="8462" max="8465" width="12.5703125" style="2" customWidth="1"/>
    <col min="8466" max="8466" width="7.85546875" style="2" customWidth="1"/>
    <col min="8467" max="8704" width="12.5703125" style="2"/>
    <col min="8705" max="8705" width="18.28515625" style="2" customWidth="1"/>
    <col min="8706" max="8706" width="22.7109375" style="2" customWidth="1"/>
    <col min="8707" max="8707" width="12.140625" style="2" customWidth="1"/>
    <col min="8708" max="8708" width="12.42578125" style="2" customWidth="1"/>
    <col min="8709" max="8709" width="18.140625" style="2" customWidth="1"/>
    <col min="8710" max="8716" width="8.85546875" style="2" customWidth="1"/>
    <col min="8717" max="8717" width="13.7109375" style="2" customWidth="1"/>
    <col min="8718" max="8721" width="12.5703125" style="2" customWidth="1"/>
    <col min="8722" max="8722" width="7.85546875" style="2" customWidth="1"/>
    <col min="8723" max="8960" width="12.5703125" style="2"/>
    <col min="8961" max="8961" width="18.28515625" style="2" customWidth="1"/>
    <col min="8962" max="8962" width="22.7109375" style="2" customWidth="1"/>
    <col min="8963" max="8963" width="12.140625" style="2" customWidth="1"/>
    <col min="8964" max="8964" width="12.42578125" style="2" customWidth="1"/>
    <col min="8965" max="8965" width="18.140625" style="2" customWidth="1"/>
    <col min="8966" max="8972" width="8.85546875" style="2" customWidth="1"/>
    <col min="8973" max="8973" width="13.7109375" style="2" customWidth="1"/>
    <col min="8974" max="8977" width="12.5703125" style="2" customWidth="1"/>
    <col min="8978" max="8978" width="7.85546875" style="2" customWidth="1"/>
    <col min="8979" max="9216" width="12.5703125" style="2"/>
    <col min="9217" max="9217" width="18.28515625" style="2" customWidth="1"/>
    <col min="9218" max="9218" width="22.7109375" style="2" customWidth="1"/>
    <col min="9219" max="9219" width="12.140625" style="2" customWidth="1"/>
    <col min="9220" max="9220" width="12.42578125" style="2" customWidth="1"/>
    <col min="9221" max="9221" width="18.140625" style="2" customWidth="1"/>
    <col min="9222" max="9228" width="8.85546875" style="2" customWidth="1"/>
    <col min="9229" max="9229" width="13.7109375" style="2" customWidth="1"/>
    <col min="9230" max="9233" width="12.5703125" style="2" customWidth="1"/>
    <col min="9234" max="9234" width="7.85546875" style="2" customWidth="1"/>
    <col min="9235" max="9472" width="12.5703125" style="2"/>
    <col min="9473" max="9473" width="18.28515625" style="2" customWidth="1"/>
    <col min="9474" max="9474" width="22.7109375" style="2" customWidth="1"/>
    <col min="9475" max="9475" width="12.140625" style="2" customWidth="1"/>
    <col min="9476" max="9476" width="12.42578125" style="2" customWidth="1"/>
    <col min="9477" max="9477" width="18.140625" style="2" customWidth="1"/>
    <col min="9478" max="9484" width="8.85546875" style="2" customWidth="1"/>
    <col min="9485" max="9485" width="13.7109375" style="2" customWidth="1"/>
    <col min="9486" max="9489" width="12.5703125" style="2" customWidth="1"/>
    <col min="9490" max="9490" width="7.85546875" style="2" customWidth="1"/>
    <col min="9491" max="9728" width="12.5703125" style="2"/>
    <col min="9729" max="9729" width="18.28515625" style="2" customWidth="1"/>
    <col min="9730" max="9730" width="22.7109375" style="2" customWidth="1"/>
    <col min="9731" max="9731" width="12.140625" style="2" customWidth="1"/>
    <col min="9732" max="9732" width="12.42578125" style="2" customWidth="1"/>
    <col min="9733" max="9733" width="18.140625" style="2" customWidth="1"/>
    <col min="9734" max="9740" width="8.85546875" style="2" customWidth="1"/>
    <col min="9741" max="9741" width="13.7109375" style="2" customWidth="1"/>
    <col min="9742" max="9745" width="12.5703125" style="2" customWidth="1"/>
    <col min="9746" max="9746" width="7.85546875" style="2" customWidth="1"/>
    <col min="9747" max="9984" width="12.5703125" style="2"/>
    <col min="9985" max="9985" width="18.28515625" style="2" customWidth="1"/>
    <col min="9986" max="9986" width="22.7109375" style="2" customWidth="1"/>
    <col min="9987" max="9987" width="12.140625" style="2" customWidth="1"/>
    <col min="9988" max="9988" width="12.42578125" style="2" customWidth="1"/>
    <col min="9989" max="9989" width="18.140625" style="2" customWidth="1"/>
    <col min="9990" max="9996" width="8.85546875" style="2" customWidth="1"/>
    <col min="9997" max="9997" width="13.7109375" style="2" customWidth="1"/>
    <col min="9998" max="10001" width="12.5703125" style="2" customWidth="1"/>
    <col min="10002" max="10002" width="7.85546875" style="2" customWidth="1"/>
    <col min="10003" max="10240" width="12.5703125" style="2"/>
    <col min="10241" max="10241" width="18.28515625" style="2" customWidth="1"/>
    <col min="10242" max="10242" width="22.7109375" style="2" customWidth="1"/>
    <col min="10243" max="10243" width="12.140625" style="2" customWidth="1"/>
    <col min="10244" max="10244" width="12.42578125" style="2" customWidth="1"/>
    <col min="10245" max="10245" width="18.140625" style="2" customWidth="1"/>
    <col min="10246" max="10252" width="8.85546875" style="2" customWidth="1"/>
    <col min="10253" max="10253" width="13.7109375" style="2" customWidth="1"/>
    <col min="10254" max="10257" width="12.5703125" style="2" customWidth="1"/>
    <col min="10258" max="10258" width="7.85546875" style="2" customWidth="1"/>
    <col min="10259" max="10496" width="12.5703125" style="2"/>
    <col min="10497" max="10497" width="18.28515625" style="2" customWidth="1"/>
    <col min="10498" max="10498" width="22.7109375" style="2" customWidth="1"/>
    <col min="10499" max="10499" width="12.140625" style="2" customWidth="1"/>
    <col min="10500" max="10500" width="12.42578125" style="2" customWidth="1"/>
    <col min="10501" max="10501" width="18.140625" style="2" customWidth="1"/>
    <col min="10502" max="10508" width="8.85546875" style="2" customWidth="1"/>
    <col min="10509" max="10509" width="13.7109375" style="2" customWidth="1"/>
    <col min="10510" max="10513" width="12.5703125" style="2" customWidth="1"/>
    <col min="10514" max="10514" width="7.85546875" style="2" customWidth="1"/>
    <col min="10515" max="10752" width="12.5703125" style="2"/>
    <col min="10753" max="10753" width="18.28515625" style="2" customWidth="1"/>
    <col min="10754" max="10754" width="22.7109375" style="2" customWidth="1"/>
    <col min="10755" max="10755" width="12.140625" style="2" customWidth="1"/>
    <col min="10756" max="10756" width="12.42578125" style="2" customWidth="1"/>
    <col min="10757" max="10757" width="18.140625" style="2" customWidth="1"/>
    <col min="10758" max="10764" width="8.85546875" style="2" customWidth="1"/>
    <col min="10765" max="10765" width="13.7109375" style="2" customWidth="1"/>
    <col min="10766" max="10769" width="12.5703125" style="2" customWidth="1"/>
    <col min="10770" max="10770" width="7.85546875" style="2" customWidth="1"/>
    <col min="10771" max="11008" width="12.5703125" style="2"/>
    <col min="11009" max="11009" width="18.28515625" style="2" customWidth="1"/>
    <col min="11010" max="11010" width="22.7109375" style="2" customWidth="1"/>
    <col min="11011" max="11011" width="12.140625" style="2" customWidth="1"/>
    <col min="11012" max="11012" width="12.42578125" style="2" customWidth="1"/>
    <col min="11013" max="11013" width="18.140625" style="2" customWidth="1"/>
    <col min="11014" max="11020" width="8.85546875" style="2" customWidth="1"/>
    <col min="11021" max="11021" width="13.7109375" style="2" customWidth="1"/>
    <col min="11022" max="11025" width="12.5703125" style="2" customWidth="1"/>
    <col min="11026" max="11026" width="7.85546875" style="2" customWidth="1"/>
    <col min="11027" max="11264" width="12.5703125" style="2"/>
    <col min="11265" max="11265" width="18.28515625" style="2" customWidth="1"/>
    <col min="11266" max="11266" width="22.7109375" style="2" customWidth="1"/>
    <col min="11267" max="11267" width="12.140625" style="2" customWidth="1"/>
    <col min="11268" max="11268" width="12.42578125" style="2" customWidth="1"/>
    <col min="11269" max="11269" width="18.140625" style="2" customWidth="1"/>
    <col min="11270" max="11276" width="8.85546875" style="2" customWidth="1"/>
    <col min="11277" max="11277" width="13.7109375" style="2" customWidth="1"/>
    <col min="11278" max="11281" width="12.5703125" style="2" customWidth="1"/>
    <col min="11282" max="11282" width="7.85546875" style="2" customWidth="1"/>
    <col min="11283" max="11520" width="12.5703125" style="2"/>
    <col min="11521" max="11521" width="18.28515625" style="2" customWidth="1"/>
    <col min="11522" max="11522" width="22.7109375" style="2" customWidth="1"/>
    <col min="11523" max="11523" width="12.140625" style="2" customWidth="1"/>
    <col min="11524" max="11524" width="12.42578125" style="2" customWidth="1"/>
    <col min="11525" max="11525" width="18.140625" style="2" customWidth="1"/>
    <col min="11526" max="11532" width="8.85546875" style="2" customWidth="1"/>
    <col min="11533" max="11533" width="13.7109375" style="2" customWidth="1"/>
    <col min="11534" max="11537" width="12.5703125" style="2" customWidth="1"/>
    <col min="11538" max="11538" width="7.85546875" style="2" customWidth="1"/>
    <col min="11539" max="11776" width="12.5703125" style="2"/>
    <col min="11777" max="11777" width="18.28515625" style="2" customWidth="1"/>
    <col min="11778" max="11778" width="22.7109375" style="2" customWidth="1"/>
    <col min="11779" max="11779" width="12.140625" style="2" customWidth="1"/>
    <col min="11780" max="11780" width="12.42578125" style="2" customWidth="1"/>
    <col min="11781" max="11781" width="18.140625" style="2" customWidth="1"/>
    <col min="11782" max="11788" width="8.85546875" style="2" customWidth="1"/>
    <col min="11789" max="11789" width="13.7109375" style="2" customWidth="1"/>
    <col min="11790" max="11793" width="12.5703125" style="2" customWidth="1"/>
    <col min="11794" max="11794" width="7.85546875" style="2" customWidth="1"/>
    <col min="11795" max="12032" width="12.5703125" style="2"/>
    <col min="12033" max="12033" width="18.28515625" style="2" customWidth="1"/>
    <col min="12034" max="12034" width="22.7109375" style="2" customWidth="1"/>
    <col min="12035" max="12035" width="12.140625" style="2" customWidth="1"/>
    <col min="12036" max="12036" width="12.42578125" style="2" customWidth="1"/>
    <col min="12037" max="12037" width="18.140625" style="2" customWidth="1"/>
    <col min="12038" max="12044" width="8.85546875" style="2" customWidth="1"/>
    <col min="12045" max="12045" width="13.7109375" style="2" customWidth="1"/>
    <col min="12046" max="12049" width="12.5703125" style="2" customWidth="1"/>
    <col min="12050" max="12050" width="7.85546875" style="2" customWidth="1"/>
    <col min="12051" max="12288" width="12.5703125" style="2"/>
    <col min="12289" max="12289" width="18.28515625" style="2" customWidth="1"/>
    <col min="12290" max="12290" width="22.7109375" style="2" customWidth="1"/>
    <col min="12291" max="12291" width="12.140625" style="2" customWidth="1"/>
    <col min="12292" max="12292" width="12.42578125" style="2" customWidth="1"/>
    <col min="12293" max="12293" width="18.140625" style="2" customWidth="1"/>
    <col min="12294" max="12300" width="8.85546875" style="2" customWidth="1"/>
    <col min="12301" max="12301" width="13.7109375" style="2" customWidth="1"/>
    <col min="12302" max="12305" width="12.5703125" style="2" customWidth="1"/>
    <col min="12306" max="12306" width="7.85546875" style="2" customWidth="1"/>
    <col min="12307" max="12544" width="12.5703125" style="2"/>
    <col min="12545" max="12545" width="18.28515625" style="2" customWidth="1"/>
    <col min="12546" max="12546" width="22.7109375" style="2" customWidth="1"/>
    <col min="12547" max="12547" width="12.140625" style="2" customWidth="1"/>
    <col min="12548" max="12548" width="12.42578125" style="2" customWidth="1"/>
    <col min="12549" max="12549" width="18.140625" style="2" customWidth="1"/>
    <col min="12550" max="12556" width="8.85546875" style="2" customWidth="1"/>
    <col min="12557" max="12557" width="13.7109375" style="2" customWidth="1"/>
    <col min="12558" max="12561" width="12.5703125" style="2" customWidth="1"/>
    <col min="12562" max="12562" width="7.85546875" style="2" customWidth="1"/>
    <col min="12563" max="12800" width="12.5703125" style="2"/>
    <col min="12801" max="12801" width="18.28515625" style="2" customWidth="1"/>
    <col min="12802" max="12802" width="22.7109375" style="2" customWidth="1"/>
    <col min="12803" max="12803" width="12.140625" style="2" customWidth="1"/>
    <col min="12804" max="12804" width="12.42578125" style="2" customWidth="1"/>
    <col min="12805" max="12805" width="18.140625" style="2" customWidth="1"/>
    <col min="12806" max="12812" width="8.85546875" style="2" customWidth="1"/>
    <col min="12813" max="12813" width="13.7109375" style="2" customWidth="1"/>
    <col min="12814" max="12817" width="12.5703125" style="2" customWidth="1"/>
    <col min="12818" max="12818" width="7.85546875" style="2" customWidth="1"/>
    <col min="12819" max="13056" width="12.5703125" style="2"/>
    <col min="13057" max="13057" width="18.28515625" style="2" customWidth="1"/>
    <col min="13058" max="13058" width="22.7109375" style="2" customWidth="1"/>
    <col min="13059" max="13059" width="12.140625" style="2" customWidth="1"/>
    <col min="13060" max="13060" width="12.42578125" style="2" customWidth="1"/>
    <col min="13061" max="13061" width="18.140625" style="2" customWidth="1"/>
    <col min="13062" max="13068" width="8.85546875" style="2" customWidth="1"/>
    <col min="13069" max="13069" width="13.7109375" style="2" customWidth="1"/>
    <col min="13070" max="13073" width="12.5703125" style="2" customWidth="1"/>
    <col min="13074" max="13074" width="7.85546875" style="2" customWidth="1"/>
    <col min="13075" max="13312" width="12.5703125" style="2"/>
    <col min="13313" max="13313" width="18.28515625" style="2" customWidth="1"/>
    <col min="13314" max="13314" width="22.7109375" style="2" customWidth="1"/>
    <col min="13315" max="13315" width="12.140625" style="2" customWidth="1"/>
    <col min="13316" max="13316" width="12.42578125" style="2" customWidth="1"/>
    <col min="13317" max="13317" width="18.140625" style="2" customWidth="1"/>
    <col min="13318" max="13324" width="8.85546875" style="2" customWidth="1"/>
    <col min="13325" max="13325" width="13.7109375" style="2" customWidth="1"/>
    <col min="13326" max="13329" width="12.5703125" style="2" customWidth="1"/>
    <col min="13330" max="13330" width="7.85546875" style="2" customWidth="1"/>
    <col min="13331" max="13568" width="12.5703125" style="2"/>
    <col min="13569" max="13569" width="18.28515625" style="2" customWidth="1"/>
    <col min="13570" max="13570" width="22.7109375" style="2" customWidth="1"/>
    <col min="13571" max="13571" width="12.140625" style="2" customWidth="1"/>
    <col min="13572" max="13572" width="12.42578125" style="2" customWidth="1"/>
    <col min="13573" max="13573" width="18.140625" style="2" customWidth="1"/>
    <col min="13574" max="13580" width="8.85546875" style="2" customWidth="1"/>
    <col min="13581" max="13581" width="13.7109375" style="2" customWidth="1"/>
    <col min="13582" max="13585" width="12.5703125" style="2" customWidth="1"/>
    <col min="13586" max="13586" width="7.85546875" style="2" customWidth="1"/>
    <col min="13587" max="13824" width="12.5703125" style="2"/>
    <col min="13825" max="13825" width="18.28515625" style="2" customWidth="1"/>
    <col min="13826" max="13826" width="22.7109375" style="2" customWidth="1"/>
    <col min="13827" max="13827" width="12.140625" style="2" customWidth="1"/>
    <col min="13828" max="13828" width="12.42578125" style="2" customWidth="1"/>
    <col min="13829" max="13829" width="18.140625" style="2" customWidth="1"/>
    <col min="13830" max="13836" width="8.85546875" style="2" customWidth="1"/>
    <col min="13837" max="13837" width="13.7109375" style="2" customWidth="1"/>
    <col min="13838" max="13841" width="12.5703125" style="2" customWidth="1"/>
    <col min="13842" max="13842" width="7.85546875" style="2" customWidth="1"/>
    <col min="13843" max="14080" width="12.5703125" style="2"/>
    <col min="14081" max="14081" width="18.28515625" style="2" customWidth="1"/>
    <col min="14082" max="14082" width="22.7109375" style="2" customWidth="1"/>
    <col min="14083" max="14083" width="12.140625" style="2" customWidth="1"/>
    <col min="14084" max="14084" width="12.42578125" style="2" customWidth="1"/>
    <col min="14085" max="14085" width="18.140625" style="2" customWidth="1"/>
    <col min="14086" max="14092" width="8.85546875" style="2" customWidth="1"/>
    <col min="14093" max="14093" width="13.7109375" style="2" customWidth="1"/>
    <col min="14094" max="14097" width="12.5703125" style="2" customWidth="1"/>
    <col min="14098" max="14098" width="7.85546875" style="2" customWidth="1"/>
    <col min="14099" max="14336" width="12.5703125" style="2"/>
    <col min="14337" max="14337" width="18.28515625" style="2" customWidth="1"/>
    <col min="14338" max="14338" width="22.7109375" style="2" customWidth="1"/>
    <col min="14339" max="14339" width="12.140625" style="2" customWidth="1"/>
    <col min="14340" max="14340" width="12.42578125" style="2" customWidth="1"/>
    <col min="14341" max="14341" width="18.140625" style="2" customWidth="1"/>
    <col min="14342" max="14348" width="8.85546875" style="2" customWidth="1"/>
    <col min="14349" max="14349" width="13.7109375" style="2" customWidth="1"/>
    <col min="14350" max="14353" width="12.5703125" style="2" customWidth="1"/>
    <col min="14354" max="14354" width="7.85546875" style="2" customWidth="1"/>
    <col min="14355" max="14592" width="12.5703125" style="2"/>
    <col min="14593" max="14593" width="18.28515625" style="2" customWidth="1"/>
    <col min="14594" max="14594" width="22.7109375" style="2" customWidth="1"/>
    <col min="14595" max="14595" width="12.140625" style="2" customWidth="1"/>
    <col min="14596" max="14596" width="12.42578125" style="2" customWidth="1"/>
    <col min="14597" max="14597" width="18.140625" style="2" customWidth="1"/>
    <col min="14598" max="14604" width="8.85546875" style="2" customWidth="1"/>
    <col min="14605" max="14605" width="13.7109375" style="2" customWidth="1"/>
    <col min="14606" max="14609" width="12.5703125" style="2" customWidth="1"/>
    <col min="14610" max="14610" width="7.85546875" style="2" customWidth="1"/>
    <col min="14611" max="14848" width="12.5703125" style="2"/>
    <col min="14849" max="14849" width="18.28515625" style="2" customWidth="1"/>
    <col min="14850" max="14850" width="22.7109375" style="2" customWidth="1"/>
    <col min="14851" max="14851" width="12.140625" style="2" customWidth="1"/>
    <col min="14852" max="14852" width="12.42578125" style="2" customWidth="1"/>
    <col min="14853" max="14853" width="18.140625" style="2" customWidth="1"/>
    <col min="14854" max="14860" width="8.85546875" style="2" customWidth="1"/>
    <col min="14861" max="14861" width="13.7109375" style="2" customWidth="1"/>
    <col min="14862" max="14865" width="12.5703125" style="2" customWidth="1"/>
    <col min="14866" max="14866" width="7.85546875" style="2" customWidth="1"/>
    <col min="14867" max="15104" width="12.5703125" style="2"/>
    <col min="15105" max="15105" width="18.28515625" style="2" customWidth="1"/>
    <col min="15106" max="15106" width="22.7109375" style="2" customWidth="1"/>
    <col min="15107" max="15107" width="12.140625" style="2" customWidth="1"/>
    <col min="15108" max="15108" width="12.42578125" style="2" customWidth="1"/>
    <col min="15109" max="15109" width="18.140625" style="2" customWidth="1"/>
    <col min="15110" max="15116" width="8.85546875" style="2" customWidth="1"/>
    <col min="15117" max="15117" width="13.7109375" style="2" customWidth="1"/>
    <col min="15118" max="15121" width="12.5703125" style="2" customWidth="1"/>
    <col min="15122" max="15122" width="7.85546875" style="2" customWidth="1"/>
    <col min="15123" max="15360" width="12.5703125" style="2"/>
    <col min="15361" max="15361" width="18.28515625" style="2" customWidth="1"/>
    <col min="15362" max="15362" width="22.7109375" style="2" customWidth="1"/>
    <col min="15363" max="15363" width="12.140625" style="2" customWidth="1"/>
    <col min="15364" max="15364" width="12.42578125" style="2" customWidth="1"/>
    <col min="15365" max="15365" width="18.140625" style="2" customWidth="1"/>
    <col min="15366" max="15372" width="8.85546875" style="2" customWidth="1"/>
    <col min="15373" max="15373" width="13.7109375" style="2" customWidth="1"/>
    <col min="15374" max="15377" width="12.5703125" style="2" customWidth="1"/>
    <col min="15378" max="15378" width="7.85546875" style="2" customWidth="1"/>
    <col min="15379" max="15616" width="12.5703125" style="2"/>
    <col min="15617" max="15617" width="18.28515625" style="2" customWidth="1"/>
    <col min="15618" max="15618" width="22.7109375" style="2" customWidth="1"/>
    <col min="15619" max="15619" width="12.140625" style="2" customWidth="1"/>
    <col min="15620" max="15620" width="12.42578125" style="2" customWidth="1"/>
    <col min="15621" max="15621" width="18.140625" style="2" customWidth="1"/>
    <col min="15622" max="15628" width="8.85546875" style="2" customWidth="1"/>
    <col min="15629" max="15629" width="13.7109375" style="2" customWidth="1"/>
    <col min="15630" max="15633" width="12.5703125" style="2" customWidth="1"/>
    <col min="15634" max="15634" width="7.85546875" style="2" customWidth="1"/>
    <col min="15635" max="15872" width="12.5703125" style="2"/>
    <col min="15873" max="15873" width="18.28515625" style="2" customWidth="1"/>
    <col min="15874" max="15874" width="22.7109375" style="2" customWidth="1"/>
    <col min="15875" max="15875" width="12.140625" style="2" customWidth="1"/>
    <col min="15876" max="15876" width="12.42578125" style="2" customWidth="1"/>
    <col min="15877" max="15877" width="18.140625" style="2" customWidth="1"/>
    <col min="15878" max="15884" width="8.85546875" style="2" customWidth="1"/>
    <col min="15885" max="15885" width="13.7109375" style="2" customWidth="1"/>
    <col min="15886" max="15889" width="12.5703125" style="2" customWidth="1"/>
    <col min="15890" max="15890" width="7.85546875" style="2" customWidth="1"/>
    <col min="15891" max="16128" width="12.5703125" style="2"/>
    <col min="16129" max="16129" width="18.28515625" style="2" customWidth="1"/>
    <col min="16130" max="16130" width="22.7109375" style="2" customWidth="1"/>
    <col min="16131" max="16131" width="12.140625" style="2" customWidth="1"/>
    <col min="16132" max="16132" width="12.42578125" style="2" customWidth="1"/>
    <col min="16133" max="16133" width="18.140625" style="2" customWidth="1"/>
    <col min="16134" max="16140" width="8.85546875" style="2" customWidth="1"/>
    <col min="16141" max="16141" width="13.7109375" style="2" customWidth="1"/>
    <col min="16142" max="16145" width="12.5703125" style="2" customWidth="1"/>
    <col min="16146" max="16146" width="7.85546875" style="2" customWidth="1"/>
    <col min="16147" max="16384" width="12.5703125" style="2"/>
  </cols>
  <sheetData>
    <row r="1" spans="1:24" x14ac:dyDescent="0.25">
      <c r="B1" s="3">
        <v>12240</v>
      </c>
      <c r="F1" s="4"/>
      <c r="G1" s="4"/>
      <c r="H1" s="4"/>
      <c r="I1" s="4"/>
      <c r="J1" s="4"/>
      <c r="K1" s="4"/>
      <c r="L1" s="4"/>
      <c r="M1" s="4"/>
      <c r="N1" s="5"/>
      <c r="O1" s="5"/>
      <c r="P1" s="5"/>
      <c r="Q1" s="5"/>
      <c r="R1" s="5"/>
    </row>
    <row r="2" spans="1:24" ht="15.75" x14ac:dyDescent="0.25">
      <c r="A2" s="6"/>
      <c r="B2" s="7">
        <f>ROUND(B1,0)</f>
        <v>12240</v>
      </c>
      <c r="C2" s="6"/>
      <c r="D2" s="6"/>
      <c r="F2" s="5" t="s">
        <v>13</v>
      </c>
      <c r="G2" s="5" t="str">
        <f>IF(B2&gt;1,"S"," ")</f>
        <v>S</v>
      </c>
      <c r="H2" s="5" t="str">
        <f>IF(B2=0,"CERO"," ")</f>
        <v xml:space="preserve"> </v>
      </c>
      <c r="I2" s="8"/>
      <c r="J2" s="8"/>
      <c r="K2" s="8"/>
      <c r="L2" s="8"/>
      <c r="M2" s="8"/>
      <c r="N2" s="5">
        <f>B1+0.001</f>
        <v>12240.001</v>
      </c>
      <c r="O2" s="5" t="str">
        <f>RIGHT(N2,3)</f>
        <v>001</v>
      </c>
      <c r="P2" s="5" t="str">
        <f>LEFT(O2,2)</f>
        <v>00</v>
      </c>
      <c r="Q2" s="5"/>
      <c r="R2" s="5"/>
      <c r="S2" s="9"/>
    </row>
    <row r="3" spans="1:24" x14ac:dyDescent="0.25">
      <c r="A3" s="10" t="s">
        <v>14</v>
      </c>
      <c r="B3" s="11" t="str">
        <f>RIGHT($B$2,12)</f>
        <v>12240</v>
      </c>
      <c r="C3" s="11" t="str">
        <f>RIGHT($B$2,11)</f>
        <v>12240</v>
      </c>
      <c r="D3" s="11" t="str">
        <f>RIGHT($B$2,10)</f>
        <v>12240</v>
      </c>
      <c r="E3" s="11" t="str">
        <f>RIGHT($B$2,9)</f>
        <v>12240</v>
      </c>
      <c r="F3" s="5" t="str">
        <f>RIGHT($B$2,8)</f>
        <v>12240</v>
      </c>
      <c r="G3" s="5" t="str">
        <f>RIGHT($B$2,7)</f>
        <v>12240</v>
      </c>
      <c r="H3" s="5" t="str">
        <f>RIGHT($B$2,6)</f>
        <v>12240</v>
      </c>
      <c r="I3" s="5" t="str">
        <f>RIGHT($B$2,5)</f>
        <v>12240</v>
      </c>
      <c r="J3" s="5" t="str">
        <f>RIGHT($B$2,4)</f>
        <v>2240</v>
      </c>
      <c r="K3" s="5" t="str">
        <f>RIGHT($B$2,3)</f>
        <v>240</v>
      </c>
      <c r="L3" s="5" t="str">
        <f>RIGHT($B$2,2)</f>
        <v>40</v>
      </c>
      <c r="M3" s="5" t="str">
        <f>RIGHT($B$2,1)</f>
        <v>0</v>
      </c>
      <c r="N3" s="5"/>
      <c r="O3" s="5"/>
      <c r="P3" s="5" t="str">
        <f>RIGHT($P$2,2)</f>
        <v>00</v>
      </c>
      <c r="Q3" s="5" t="str">
        <f>RIGHT($P$2,1)</f>
        <v>0</v>
      </c>
      <c r="R3" s="5"/>
    </row>
    <row r="4" spans="1:24" s="13" customFormat="1" ht="9" x14ac:dyDescent="0.15">
      <c r="A4" s="57" t="s">
        <v>15</v>
      </c>
      <c r="B4" s="12">
        <f>(B3-C3)/100000000000</f>
        <v>0</v>
      </c>
      <c r="C4" s="12">
        <f>(C3-D3)/10000000000</f>
        <v>0</v>
      </c>
      <c r="D4" s="12">
        <f>(D3-E3)/1000000000</f>
        <v>0</v>
      </c>
      <c r="E4" s="12">
        <f>(E3-F3)/100000000</f>
        <v>0</v>
      </c>
      <c r="F4" s="12">
        <f>(F3-G3)/10000000</f>
        <v>0</v>
      </c>
      <c r="G4" s="12">
        <f>(G3-H3)/1000000</f>
        <v>0</v>
      </c>
      <c r="H4" s="12">
        <f>(H3-I3)/100000</f>
        <v>0</v>
      </c>
      <c r="I4" s="12">
        <f>(I3-J3)/10000</f>
        <v>1</v>
      </c>
      <c r="J4" s="12">
        <f>(J3-K3)/1000</f>
        <v>2</v>
      </c>
      <c r="K4" s="12">
        <f>(K3-L3)/100</f>
        <v>2</v>
      </c>
      <c r="L4" s="12">
        <f>(L3-M3)/10</f>
        <v>4</v>
      </c>
      <c r="M4" s="12">
        <f>(M3-N3)/1</f>
        <v>0</v>
      </c>
      <c r="N4" s="5"/>
      <c r="O4" s="5"/>
      <c r="P4" s="5">
        <f>(P3-Q3)/10</f>
        <v>0</v>
      </c>
      <c r="Q4" s="5">
        <f>(Q3-R3)/1</f>
        <v>0</v>
      </c>
      <c r="R4" s="5">
        <f>P4+Q4</f>
        <v>0</v>
      </c>
    </row>
    <row r="5" spans="1:24" s="13" customFormat="1" ht="9" x14ac:dyDescent="0.15">
      <c r="A5" s="57"/>
      <c r="B5" s="12" t="str">
        <f>IF(B4&gt;8,B25,IF(B4&gt;7,B24,IF(B4&gt;6,B23,IF(B4&gt;5,B22,IF(B4&gt;4,B21,IF(B4&gt;3,B20," "))))))</f>
        <v xml:space="preserve"> </v>
      </c>
      <c r="C5" s="12" t="str">
        <f>IF(C4&gt;8,C25,IF(C4&gt;7,C24,IF(C4&gt;6,C23,IF(C4&gt;5,C22,IF(C4&gt;4,C21,IF(C4&gt;3,C20," "))))))</f>
        <v xml:space="preserve"> </v>
      </c>
      <c r="D5" s="12" t="str">
        <f>IF(D4&gt;8,D25,IF(D4&gt;7,D24,IF(D4&gt;6,D23,IF(D4&gt;5,D22,IF(D4&gt;4,D21,IF(D4&gt;3,D20," "))))))</f>
        <v xml:space="preserve"> </v>
      </c>
      <c r="E5" s="12" t="str">
        <f t="shared" ref="E5:M5" si="0">IF(E4&gt;8,E25,IF(E4&gt;7,E24,IF(E4&gt;6,E23,IF(E4&gt;5,E22,IF(E4&gt;4,E21,IF(E4&gt;3,E20," "))))))</f>
        <v xml:space="preserve"> </v>
      </c>
      <c r="F5" s="12" t="str">
        <f t="shared" si="0"/>
        <v xml:space="preserve"> </v>
      </c>
      <c r="G5" s="12" t="str">
        <f t="shared" si="0"/>
        <v xml:space="preserve"> </v>
      </c>
      <c r="H5" s="12" t="str">
        <f t="shared" si="0"/>
        <v xml:space="preserve"> </v>
      </c>
      <c r="I5" s="12" t="str">
        <f t="shared" si="0"/>
        <v xml:space="preserve"> </v>
      </c>
      <c r="J5" s="12" t="str">
        <f t="shared" si="0"/>
        <v xml:space="preserve"> </v>
      </c>
      <c r="K5" s="12" t="str">
        <f t="shared" si="0"/>
        <v xml:space="preserve"> </v>
      </c>
      <c r="L5" s="12" t="str">
        <f t="shared" si="0"/>
        <v xml:space="preserve"> CUARENTA</v>
      </c>
      <c r="M5" s="12" t="str">
        <f t="shared" si="0"/>
        <v xml:space="preserve"> </v>
      </c>
      <c r="N5" s="5"/>
      <c r="O5" s="5"/>
      <c r="P5" s="5" t="str">
        <f>IF(P4&gt;8,P25,IF(P4&gt;7,P24,IF(P4&gt;6,P23,IF(P4&gt;5,P22,IF(P4&gt;4,P21,IF(P4&gt;3,P20," "))))))</f>
        <v xml:space="preserve"> </v>
      </c>
      <c r="Q5" s="5" t="str">
        <f>IF(Q4&gt;8,Q25,IF(Q4&gt;7,Q24,IF(Q4&gt;6,Q23,IF(Q4&gt;5,Q22,IF(Q4&gt;4,Q21,IF(Q4&gt;3,Q20," "))))))</f>
        <v xml:space="preserve"> </v>
      </c>
      <c r="R5" s="5"/>
    </row>
    <row r="6" spans="1:24" s="13" customFormat="1" ht="9" x14ac:dyDescent="0.15">
      <c r="A6" s="57"/>
      <c r="B6" s="12" t="str">
        <f>IF(B4&gt;3," ",IF(B4&gt;2,B19,IF(B4&gt;1,B18,IF(B4&gt;0,B17," "))))</f>
        <v xml:space="preserve"> </v>
      </c>
      <c r="C6" s="12" t="str">
        <f>IF(C4&gt;3," ",IF(C4&gt;2,C19,IF(C4&gt;1,C18,IF(C4&gt;0,C17," "))))</f>
        <v xml:space="preserve"> </v>
      </c>
      <c r="D6" s="12" t="str">
        <f>IF(D4&gt;3," ",IF(D4&gt;2,D19,IF(D4&gt;1,D18,IF(D4&gt;0,D17," "))))</f>
        <v xml:space="preserve"> </v>
      </c>
      <c r="E6" s="12" t="str">
        <f t="shared" ref="E6:M6" si="1">IF(E4&gt;3," ",IF(E4&gt;2,E19,IF(E4&gt;1,E18,IF(E4&gt;0,E17," "))))</f>
        <v xml:space="preserve"> </v>
      </c>
      <c r="F6" s="12" t="str">
        <f t="shared" si="1"/>
        <v xml:space="preserve"> </v>
      </c>
      <c r="G6" s="12" t="str">
        <f t="shared" si="1"/>
        <v xml:space="preserve"> </v>
      </c>
      <c r="H6" s="12" t="str">
        <f t="shared" si="1"/>
        <v xml:space="preserve"> </v>
      </c>
      <c r="I6" s="12" t="str">
        <f t="shared" si="1"/>
        <v xml:space="preserve"> DIEZ</v>
      </c>
      <c r="J6" s="12" t="str">
        <f t="shared" si="1"/>
        <v xml:space="preserve"> DOS</v>
      </c>
      <c r="K6" s="12" t="str">
        <f t="shared" si="1"/>
        <v xml:space="preserve"> DOSCIENTOS</v>
      </c>
      <c r="L6" s="12" t="str">
        <f t="shared" si="1"/>
        <v xml:space="preserve"> </v>
      </c>
      <c r="M6" s="12" t="str">
        <f t="shared" si="1"/>
        <v xml:space="preserve"> </v>
      </c>
      <c r="N6" s="5"/>
      <c r="O6" s="5"/>
      <c r="P6" s="5" t="str">
        <f>IF(P4&gt;3," ",IF(P4&gt;2,P19,IF(P4&gt;1,P18,IF(P4&gt;0,P17," "))))</f>
        <v xml:space="preserve"> </v>
      </c>
      <c r="Q6" s="5" t="str">
        <f>IF(Q4&gt;3," ",IF(Q4&gt;2,Q19,IF(Q4&gt;1,Q18,IF(Q4&gt;0,Q17," "))))</f>
        <v xml:space="preserve"> </v>
      </c>
      <c r="R6" s="5"/>
    </row>
    <row r="7" spans="1:24" s="13" customFormat="1" ht="9" x14ac:dyDescent="0.15">
      <c r="A7" s="57"/>
      <c r="B7" s="14" t="str">
        <f>IF(B4=1,IF((100+C4+D4)=100,"CIEN",B6)," ")</f>
        <v xml:space="preserve"> </v>
      </c>
      <c r="C7" s="12" t="str">
        <f>IF(D4&gt;0," Y "," ")</f>
        <v xml:space="preserve"> </v>
      </c>
      <c r="D7" s="15"/>
      <c r="E7" s="14" t="str">
        <f>IF(E4=1,IF((100+F4+G4)=100,"CIEN",E6)," ")</f>
        <v xml:space="preserve"> </v>
      </c>
      <c r="F7" s="12" t="str">
        <f>IF(G4&gt;0," Y "," ")</f>
        <v xml:space="preserve"> </v>
      </c>
      <c r="G7" s="12" t="str">
        <f>IF((F4+G4+E4)&gt;0," MILLONES"," ")</f>
        <v xml:space="preserve"> </v>
      </c>
      <c r="H7" s="14" t="str">
        <f>IF(H4=1,IF((100+I4+J4)=100,"CIEN",H6)," ")</f>
        <v xml:space="preserve"> </v>
      </c>
      <c r="I7" s="12" t="str">
        <f>IF(J4&gt;0," Y "," ")</f>
        <v xml:space="preserve"> Y </v>
      </c>
      <c r="J7" s="12" t="str">
        <f>IF((I4+J4+H4)&gt;0," MIL"," ")</f>
        <v xml:space="preserve"> MIL</v>
      </c>
      <c r="K7" s="14" t="str">
        <f>IF(K4=1,IF((100+L4+M4)=100,"CIEN",K6)," ")</f>
        <v xml:space="preserve"> </v>
      </c>
      <c r="L7" s="12" t="str">
        <f>IF(M4&gt;0," Y "," ")</f>
        <v xml:space="preserve"> </v>
      </c>
      <c r="M7" s="15"/>
      <c r="N7" s="5"/>
      <c r="O7" s="5"/>
      <c r="P7" s="5" t="str">
        <f>IF(Q4&gt;0," Y "," ")</f>
        <v xml:space="preserve"> </v>
      </c>
      <c r="Q7" s="5"/>
      <c r="R7" s="5"/>
    </row>
    <row r="8" spans="1:24" s="13" customFormat="1" ht="9" x14ac:dyDescent="0.15">
      <c r="A8" s="57"/>
      <c r="B8" s="12" t="str">
        <f>IF(B7="CIEN","CIEN",B6)</f>
        <v xml:space="preserve"> </v>
      </c>
      <c r="C8" s="12" t="str">
        <f>IF(B2=1," ",C7)</f>
        <v xml:space="preserve"> </v>
      </c>
      <c r="D8" s="15"/>
      <c r="E8" s="12" t="str">
        <f>IF(E7="CIEN","CIEN",E6)</f>
        <v xml:space="preserve"> </v>
      </c>
      <c r="F8" s="12" t="str">
        <f>IF($B$2&gt;9999999,F7," ")</f>
        <v xml:space="preserve"> </v>
      </c>
      <c r="G8" s="12" t="str">
        <f>IF(G6=G17,"  MILLON",G7)</f>
        <v xml:space="preserve"> </v>
      </c>
      <c r="H8" s="12" t="str">
        <f>IF(H7="CIEN","CIEN",H6)</f>
        <v xml:space="preserve"> </v>
      </c>
      <c r="I8" s="12" t="str">
        <f>IF($B$2&gt;9999,I7," ")</f>
        <v xml:space="preserve"> Y </v>
      </c>
      <c r="J8" s="15"/>
      <c r="K8" s="12" t="str">
        <f>IF(K7="CIEN","CIEN",K6)</f>
        <v xml:space="preserve"> DOSCIENTOS</v>
      </c>
      <c r="L8" s="12" t="str">
        <f>IF(B2=1," ",L7)</f>
        <v xml:space="preserve"> </v>
      </c>
      <c r="M8" s="15"/>
      <c r="N8" s="5"/>
      <c r="O8" s="5"/>
      <c r="P8" s="5"/>
      <c r="Q8" s="5"/>
      <c r="R8" s="5"/>
    </row>
    <row r="9" spans="1:24" s="13" customFormat="1" ht="9" x14ac:dyDescent="0.15">
      <c r="A9" s="57"/>
      <c r="B9" s="15"/>
      <c r="C9" s="15"/>
      <c r="D9" s="14">
        <f>IF(C4=1,10+D4,0)</f>
        <v>0</v>
      </c>
      <c r="E9" s="15"/>
      <c r="F9" s="15"/>
      <c r="G9" s="14">
        <f>IF(F4=1,10+G4,0)</f>
        <v>0</v>
      </c>
      <c r="H9" s="15"/>
      <c r="I9" s="15"/>
      <c r="J9" s="14">
        <f>IF(I4=1,10+J4,0)</f>
        <v>12</v>
      </c>
      <c r="K9" s="15"/>
      <c r="L9" s="15"/>
      <c r="M9" s="14">
        <f>IF(L4=1,10+M4,0)</f>
        <v>0</v>
      </c>
      <c r="N9" s="5"/>
      <c r="O9" s="5"/>
      <c r="P9" s="5"/>
      <c r="Q9" s="5">
        <f>IF(P4=1,10+Q4,0)</f>
        <v>0</v>
      </c>
      <c r="R9" s="5"/>
    </row>
    <row r="10" spans="1:24" s="13" customFormat="1" ht="9" x14ac:dyDescent="0.15">
      <c r="A10" s="57"/>
      <c r="B10" s="15"/>
      <c r="C10" s="15"/>
      <c r="D10" s="12" t="str">
        <f>IF(D9=$A$26,$G$26,IF(D9=$A$27,$G$27,IF(D9=$A$28,$G$28,IF(D9=$A$29,$G$29,IF(D9=$A$30,$G$30," ")))))</f>
        <v xml:space="preserve"> </v>
      </c>
      <c r="E10" s="15"/>
      <c r="F10" s="15"/>
      <c r="G10" s="12" t="str">
        <f>IF(G9=$A$26,$E$26,IF(G9=$A$27,$E$27,IF(G9=$A$28,$E$28,IF(G9=$A$29,$E$29,IF(G9=$A$30,$E$30," ")))))</f>
        <v xml:space="preserve"> </v>
      </c>
      <c r="H10" s="15"/>
      <c r="I10" s="15"/>
      <c r="J10" s="12" t="str">
        <f>IF(J9=$A$26,$F$26,IF(J9=$A$27,$F$27,IF(J9=$A$28,$F$28,IF(J9=$A$29,$F$29,IF(J9=$A$30,$F$30," ")))))</f>
        <v>DOCE MIL</v>
      </c>
      <c r="K10" s="15"/>
      <c r="L10" s="15"/>
      <c r="M10" s="12" t="str">
        <f>IF(M9=$A$26,$G$26,IF(M9=$A$27,$G$27,IF(M9=$A$28,$G$28,IF(M9=$A$29,$G$29,IF(M9=$A$30,$G$30," ")))))</f>
        <v xml:space="preserve"> </v>
      </c>
      <c r="N10" s="5"/>
      <c r="O10" s="5"/>
      <c r="P10" s="5"/>
      <c r="Q10" s="5" t="str">
        <f>IF(Q9=$A$26,$G$26,IF(Q9=$A$27,$G$27,IF(Q9=$A$28,$G$28,IF(Q9=$A$29,$G$29,IF(Q9=$A$30,$G$30," ")))))</f>
        <v xml:space="preserve"> </v>
      </c>
      <c r="R10" s="5"/>
    </row>
    <row r="11" spans="1:24" s="13" customFormat="1" ht="9" x14ac:dyDescent="0.15">
      <c r="A11" s="57"/>
      <c r="B11" s="12" t="str">
        <f>CONCATENATE(B5,B8)</f>
        <v xml:space="preserve">  </v>
      </c>
      <c r="C11" s="12" t="str">
        <f>CONCATENATE(C5,C6,C8)</f>
        <v xml:space="preserve">   </v>
      </c>
      <c r="D11" s="12" t="str">
        <f>CONCATENATE(D5,D6,D7,D8)</f>
        <v xml:space="preserve">  </v>
      </c>
      <c r="E11" s="12" t="str">
        <f>CONCATENATE(E5,E8)</f>
        <v xml:space="preserve">  </v>
      </c>
      <c r="F11" s="12" t="str">
        <f>CONCATENATE(F5,F6,F8)</f>
        <v xml:space="preserve">   </v>
      </c>
      <c r="G11" s="12" t="str">
        <f>CONCATENATE(G5,G6,G8)</f>
        <v xml:space="preserve">   </v>
      </c>
      <c r="H11" s="12" t="str">
        <f>CONCATENATE(H5,H8)</f>
        <v xml:space="preserve">  </v>
      </c>
      <c r="I11" s="12" t="str">
        <f>CONCATENATE(I5,I6,I8)</f>
        <v xml:space="preserve">  DIEZ Y </v>
      </c>
      <c r="J11" s="12" t="str">
        <f>CONCATENATE(J5,J6,J7,J8)</f>
        <v xml:space="preserve">  DOS MIL</v>
      </c>
      <c r="K11" s="12" t="str">
        <f>CONCATENATE(K5,K8)</f>
        <v xml:space="preserve">  DOSCIENTOS</v>
      </c>
      <c r="L11" s="12" t="str">
        <f>CONCATENATE(L5,L6,L8)</f>
        <v xml:space="preserve"> CUARENTA  </v>
      </c>
      <c r="M11" s="12" t="str">
        <f>CONCATENATE(M5,M6,M7,M8)</f>
        <v xml:space="preserve">  </v>
      </c>
      <c r="N11" s="5"/>
      <c r="O11" s="5"/>
      <c r="P11" s="5" t="str">
        <f>CONCATENATE(P5,P6,P8)</f>
        <v xml:space="preserve">  </v>
      </c>
      <c r="Q11" s="5" t="str">
        <f>CONCATENATE(Q5,Q6,Q7,Q8)</f>
        <v xml:space="preserve">  </v>
      </c>
      <c r="R11" s="5"/>
    </row>
    <row r="12" spans="1:24" s="13" customFormat="1" ht="9" x14ac:dyDescent="0.15">
      <c r="A12" s="57"/>
      <c r="B12" s="12" t="str">
        <f>B11</f>
        <v xml:space="preserve">  </v>
      </c>
      <c r="C12" s="12" t="str">
        <f>IF(D9=$A$26," ",IF(D9=$A$27," ",IF(D9=$A$28," ",IF(D9=$A$29," ",IF(D9=$A$30," ",C11)))))</f>
        <v xml:space="preserve">   </v>
      </c>
      <c r="D12" s="12" t="str">
        <f>IF(D9=$A$26,D10,IF(D9=$A$27,D10,IF(D9=$A$28,D10,IF(D9=$A$29,D10,IF(D9=$A$30,D10,D11)))))</f>
        <v xml:space="preserve">  </v>
      </c>
      <c r="E12" s="12" t="str">
        <f>E11</f>
        <v xml:space="preserve">  </v>
      </c>
      <c r="F12" s="12" t="str">
        <f>IF(G9=$A$26," ",IF(G9=$A$27," ",IF(G9=$A$28," ",IF(G9=$A$29," ",IF(G9=$A$30," ",F11)))))</f>
        <v xml:space="preserve">   </v>
      </c>
      <c r="G12" s="12" t="str">
        <f>IF(G9=$A$26,G10,IF(G9=$A$27,G10,IF(G9=$A$28,G10,IF(G9=$A$29,G10,IF(G9=$A$30,G10,G11)))))</f>
        <v xml:space="preserve">   </v>
      </c>
      <c r="H12" s="12" t="str">
        <f>H11</f>
        <v xml:space="preserve">  </v>
      </c>
      <c r="I12" s="12" t="str">
        <f>IF(J9=$A$26," ",IF(J9=$A$27," ",IF(J9=$A$28," ",IF(J9=$A$29," ",IF(J9=$A$30," ",I11)))))</f>
        <v xml:space="preserve"> </v>
      </c>
      <c r="J12" s="12" t="str">
        <f>IF(J9=$A$26,J10,IF(J9=$A$27,J10,IF(J9=$A$28,J10,IF(J9=$A$29,J10,IF(J9=$A$30,J10,J11)))))</f>
        <v>DOCE MIL</v>
      </c>
      <c r="K12" s="12" t="str">
        <f>K11</f>
        <v xml:space="preserve">  DOSCIENTOS</v>
      </c>
      <c r="L12" s="12" t="str">
        <f>IF(M9=$A$26," ",IF(M9=$A$27," ",IF(M9=$A$28," ",IF(M9=$A$29," ",IF(M9=$A$30," ",L11)))))</f>
        <v xml:space="preserve"> CUARENTA  </v>
      </c>
      <c r="M12" s="12" t="str">
        <f>IF(M9=$A$26,M10,IF(M9=$A$27,M10,IF(M9=$A$28,M10,IF(M9=$A$29,M10,IF(M9=$A$30,M10,M11)))))</f>
        <v xml:space="preserve">  </v>
      </c>
      <c r="N12" s="5"/>
      <c r="O12" s="5"/>
      <c r="P12" s="5" t="str">
        <f>IF(Q9=$A$26," ",IF(Q9=$A$27," ",IF(Q9=$A$28," ",IF(Q9=$A$29," ",IF(Q9=$A$30," ",P11)))))</f>
        <v xml:space="preserve">  </v>
      </c>
      <c r="Q12" s="5" t="str">
        <f>IF(Q9=$A$26,Q10,IF(Q9=$A$27,Q10,IF(Q9=$A$28,Q10,IF(Q9=$A$29,Q10,IF(Q9=$A$30,Q10,Q11)))))</f>
        <v xml:space="preserve">  </v>
      </c>
      <c r="R12" s="5"/>
    </row>
    <row r="13" spans="1:24" s="13" customFormat="1" ht="12" x14ac:dyDescent="0.2">
      <c r="A13" s="16"/>
      <c r="B13" s="17" t="str">
        <f>LEFT(B1,3)</f>
        <v>122</v>
      </c>
      <c r="C13" s="17"/>
      <c r="D13" s="17"/>
      <c r="E13" s="12"/>
      <c r="F13" s="12"/>
      <c r="G13" s="12"/>
      <c r="H13" s="12"/>
      <c r="I13" s="12"/>
      <c r="J13" s="12"/>
      <c r="K13" s="12"/>
      <c r="L13" s="12" t="str">
        <f>IF(B1&lt;10," ",L12)</f>
        <v xml:space="preserve"> CUARENTA  </v>
      </c>
      <c r="M13" s="12"/>
      <c r="N13" s="5"/>
      <c r="O13" s="5"/>
      <c r="P13" s="5"/>
      <c r="Q13" s="5"/>
      <c r="R13" s="5"/>
    </row>
    <row r="14" spans="1:24" s="13" customFormat="1" ht="12" x14ac:dyDescent="0.2">
      <c r="A14" s="16"/>
      <c r="B14" s="17"/>
      <c r="C14" s="17" t="str">
        <f>IF(B1&gt;1000000000," MIL MILLONES "," ")</f>
        <v xml:space="preserve"> </v>
      </c>
      <c r="D14" s="17"/>
      <c r="E14" s="12"/>
      <c r="F14" s="12"/>
      <c r="G14" s="12"/>
      <c r="H14" s="12"/>
      <c r="I14" s="12"/>
      <c r="J14" s="12"/>
      <c r="K14" s="12"/>
      <c r="L14" s="12"/>
      <c r="M14" s="12"/>
      <c r="N14" s="5"/>
      <c r="O14" s="5"/>
      <c r="P14" s="5"/>
      <c r="Q14" s="5"/>
      <c r="R14" s="5"/>
    </row>
    <row r="15" spans="1:24" x14ac:dyDescent="0.25">
      <c r="A15" s="18"/>
      <c r="B15" s="58" t="str">
        <f>CONCATENATE(H2,B12,C12,D12,C13,C14,E12,F12,G12,H12,I12,J12,K12,L13,M12,F2,G2,P15)</f>
        <v xml:space="preserve">                    DOCE MIL  DOSCIENTOS CUARENTA     PESOS      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"/>
      <c r="O15" s="19"/>
      <c r="P15" s="19" t="str">
        <f>CONCATENATE(O16,P12,Q12,P16)</f>
        <v xml:space="preserve">      </v>
      </c>
      <c r="Q15" s="19"/>
      <c r="R15" s="5"/>
      <c r="S15" s="20"/>
      <c r="T15" s="20"/>
      <c r="U15" s="20"/>
      <c r="V15" s="20"/>
      <c r="W15" s="20"/>
      <c r="X15" s="21"/>
    </row>
    <row r="16" spans="1:24" x14ac:dyDescent="0.25">
      <c r="A16" s="22" t="s">
        <v>14</v>
      </c>
      <c r="B16" s="23" t="str">
        <f>TRIM(B15)</f>
        <v>DOCE MIL DOSCIENTOS CUARENTA PESOS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5"/>
      <c r="N16" s="5"/>
      <c r="O16" s="5" t="str">
        <f>IF(R4&gt;0," CON"," ")</f>
        <v xml:space="preserve"> </v>
      </c>
      <c r="P16" s="5" t="str">
        <f>IF(R4&gt;0," CENTAVOS"," ")</f>
        <v xml:space="preserve"> </v>
      </c>
      <c r="Q16" s="5"/>
      <c r="R16" s="5"/>
    </row>
    <row r="17" spans="1:18" x14ac:dyDescent="0.25">
      <c r="A17" s="26"/>
      <c r="B17" s="27" t="s">
        <v>16</v>
      </c>
      <c r="C17" s="27" t="s">
        <v>17</v>
      </c>
      <c r="D17" s="27" t="s">
        <v>18</v>
      </c>
      <c r="E17" s="28" t="s">
        <v>19</v>
      </c>
      <c r="F17" s="27" t="s">
        <v>17</v>
      </c>
      <c r="G17" s="27" t="s">
        <v>18</v>
      </c>
      <c r="H17" s="27" t="s">
        <v>16</v>
      </c>
      <c r="I17" s="27" t="s">
        <v>17</v>
      </c>
      <c r="J17" s="27" t="s">
        <v>18</v>
      </c>
      <c r="K17" s="27" t="s">
        <v>16</v>
      </c>
      <c r="L17" s="27" t="s">
        <v>17</v>
      </c>
      <c r="M17" s="27" t="s">
        <v>18</v>
      </c>
      <c r="N17" s="5"/>
      <c r="O17" s="5"/>
      <c r="P17" s="5" t="s">
        <v>17</v>
      </c>
      <c r="Q17" s="5" t="s">
        <v>18</v>
      </c>
      <c r="R17" s="5"/>
    </row>
    <row r="18" spans="1:18" x14ac:dyDescent="0.25">
      <c r="A18" s="29"/>
      <c r="B18" s="27" t="s">
        <v>20</v>
      </c>
      <c r="C18" s="27" t="s">
        <v>21</v>
      </c>
      <c r="D18" s="27" t="s">
        <v>22</v>
      </c>
      <c r="E18" s="28" t="s">
        <v>23</v>
      </c>
      <c r="F18" s="27" t="s">
        <v>21</v>
      </c>
      <c r="G18" s="27" t="s">
        <v>22</v>
      </c>
      <c r="H18" s="27" t="s">
        <v>20</v>
      </c>
      <c r="I18" s="27" t="s">
        <v>21</v>
      </c>
      <c r="J18" s="27" t="s">
        <v>22</v>
      </c>
      <c r="K18" s="27" t="s">
        <v>20</v>
      </c>
      <c r="L18" s="27" t="s">
        <v>21</v>
      </c>
      <c r="M18" s="27" t="s">
        <v>22</v>
      </c>
      <c r="N18" s="5"/>
      <c r="O18" s="5"/>
      <c r="P18" s="5" t="s">
        <v>21</v>
      </c>
      <c r="Q18" s="5" t="s">
        <v>22</v>
      </c>
      <c r="R18" s="5"/>
    </row>
    <row r="19" spans="1:18" x14ac:dyDescent="0.25">
      <c r="A19" s="29"/>
      <c r="B19" s="27" t="s">
        <v>24</v>
      </c>
      <c r="C19" s="27" t="s">
        <v>25</v>
      </c>
      <c r="D19" s="27" t="s">
        <v>26</v>
      </c>
      <c r="E19" s="28" t="s">
        <v>27</v>
      </c>
      <c r="F19" s="27" t="s">
        <v>25</v>
      </c>
      <c r="G19" s="27" t="s">
        <v>26</v>
      </c>
      <c r="H19" s="27" t="s">
        <v>24</v>
      </c>
      <c r="I19" s="27" t="s">
        <v>25</v>
      </c>
      <c r="J19" s="27" t="s">
        <v>26</v>
      </c>
      <c r="K19" s="27" t="s">
        <v>24</v>
      </c>
      <c r="L19" s="27" t="s">
        <v>25</v>
      </c>
      <c r="M19" s="27" t="s">
        <v>26</v>
      </c>
      <c r="N19" s="5"/>
      <c r="O19" s="5"/>
      <c r="P19" s="5" t="s">
        <v>25</v>
      </c>
      <c r="Q19" s="5" t="s">
        <v>26</v>
      </c>
      <c r="R19" s="5"/>
    </row>
    <row r="20" spans="1:18" x14ac:dyDescent="0.25">
      <c r="A20" s="29"/>
      <c r="B20" s="27" t="s">
        <v>28</v>
      </c>
      <c r="C20" s="27" t="s">
        <v>29</v>
      </c>
      <c r="D20" s="27" t="s">
        <v>30</v>
      </c>
      <c r="E20" s="28" t="s">
        <v>31</v>
      </c>
      <c r="F20" s="27" t="s">
        <v>29</v>
      </c>
      <c r="G20" s="27" t="s">
        <v>30</v>
      </c>
      <c r="H20" s="27" t="s">
        <v>28</v>
      </c>
      <c r="I20" s="27" t="s">
        <v>29</v>
      </c>
      <c r="J20" s="27" t="s">
        <v>30</v>
      </c>
      <c r="K20" s="27" t="s">
        <v>28</v>
      </c>
      <c r="L20" s="27" t="s">
        <v>29</v>
      </c>
      <c r="M20" s="27" t="s">
        <v>30</v>
      </c>
      <c r="N20" s="5"/>
      <c r="O20" s="5"/>
      <c r="P20" s="5" t="s">
        <v>29</v>
      </c>
      <c r="Q20" s="5" t="s">
        <v>30</v>
      </c>
      <c r="R20" s="5"/>
    </row>
    <row r="21" spans="1:18" x14ac:dyDescent="0.25">
      <c r="A21" s="29"/>
      <c r="B21" s="27" t="s">
        <v>32</v>
      </c>
      <c r="C21" s="27" t="s">
        <v>33</v>
      </c>
      <c r="D21" s="27" t="s">
        <v>34</v>
      </c>
      <c r="E21" s="28" t="s">
        <v>35</v>
      </c>
      <c r="F21" s="27" t="s">
        <v>33</v>
      </c>
      <c r="G21" s="27" t="s">
        <v>34</v>
      </c>
      <c r="H21" s="27" t="s">
        <v>32</v>
      </c>
      <c r="I21" s="27" t="s">
        <v>33</v>
      </c>
      <c r="J21" s="27" t="s">
        <v>34</v>
      </c>
      <c r="K21" s="27" t="s">
        <v>32</v>
      </c>
      <c r="L21" s="27" t="s">
        <v>33</v>
      </c>
      <c r="M21" s="27" t="s">
        <v>34</v>
      </c>
      <c r="N21" s="5"/>
      <c r="O21" s="5"/>
      <c r="P21" s="5" t="s">
        <v>33</v>
      </c>
      <c r="Q21" s="5" t="s">
        <v>34</v>
      </c>
      <c r="R21" s="5"/>
    </row>
    <row r="22" spans="1:18" x14ac:dyDescent="0.25">
      <c r="A22" s="26"/>
      <c r="B22" s="27" t="s">
        <v>36</v>
      </c>
      <c r="C22" s="27" t="s">
        <v>37</v>
      </c>
      <c r="D22" s="27" t="s">
        <v>38</v>
      </c>
      <c r="E22" s="28" t="s">
        <v>39</v>
      </c>
      <c r="F22" s="27" t="s">
        <v>37</v>
      </c>
      <c r="G22" s="27" t="s">
        <v>38</v>
      </c>
      <c r="H22" s="27" t="s">
        <v>36</v>
      </c>
      <c r="I22" s="27" t="s">
        <v>37</v>
      </c>
      <c r="J22" s="27" t="s">
        <v>38</v>
      </c>
      <c r="K22" s="27" t="s">
        <v>36</v>
      </c>
      <c r="L22" s="27" t="s">
        <v>37</v>
      </c>
      <c r="M22" s="27" t="s">
        <v>38</v>
      </c>
      <c r="N22" s="5"/>
      <c r="O22" s="5"/>
      <c r="P22" s="5" t="s">
        <v>37</v>
      </c>
      <c r="Q22" s="5" t="s">
        <v>38</v>
      </c>
      <c r="R22" s="5"/>
    </row>
    <row r="23" spans="1:18" x14ac:dyDescent="0.25">
      <c r="A23" s="26"/>
      <c r="B23" s="27" t="s">
        <v>40</v>
      </c>
      <c r="C23" s="27" t="s">
        <v>41</v>
      </c>
      <c r="D23" s="27" t="s">
        <v>42</v>
      </c>
      <c r="E23" s="28" t="s">
        <v>43</v>
      </c>
      <c r="F23" s="27" t="s">
        <v>41</v>
      </c>
      <c r="G23" s="27" t="s">
        <v>42</v>
      </c>
      <c r="H23" s="27" t="s">
        <v>40</v>
      </c>
      <c r="I23" s="27" t="s">
        <v>41</v>
      </c>
      <c r="J23" s="27" t="s">
        <v>42</v>
      </c>
      <c r="K23" s="27" t="s">
        <v>40</v>
      </c>
      <c r="L23" s="27" t="s">
        <v>41</v>
      </c>
      <c r="M23" s="27" t="s">
        <v>42</v>
      </c>
      <c r="N23" s="5"/>
      <c r="O23" s="5"/>
      <c r="P23" s="5" t="s">
        <v>41</v>
      </c>
      <c r="Q23" s="5" t="s">
        <v>42</v>
      </c>
      <c r="R23" s="5"/>
    </row>
    <row r="24" spans="1:18" x14ac:dyDescent="0.25">
      <c r="A24" s="26"/>
      <c r="B24" s="27" t="s">
        <v>44</v>
      </c>
      <c r="C24" s="27" t="s">
        <v>45</v>
      </c>
      <c r="D24" s="27" t="s">
        <v>46</v>
      </c>
      <c r="E24" s="28" t="s">
        <v>47</v>
      </c>
      <c r="F24" s="27" t="s">
        <v>45</v>
      </c>
      <c r="G24" s="27" t="s">
        <v>46</v>
      </c>
      <c r="H24" s="27" t="s">
        <v>44</v>
      </c>
      <c r="I24" s="27" t="s">
        <v>45</v>
      </c>
      <c r="J24" s="27" t="s">
        <v>46</v>
      </c>
      <c r="K24" s="27" t="s">
        <v>44</v>
      </c>
      <c r="L24" s="27" t="s">
        <v>45</v>
      </c>
      <c r="M24" s="27" t="s">
        <v>46</v>
      </c>
      <c r="N24" s="5"/>
      <c r="O24" s="5"/>
      <c r="P24" s="5" t="s">
        <v>45</v>
      </c>
      <c r="Q24" s="5" t="s">
        <v>46</v>
      </c>
      <c r="R24" s="5"/>
    </row>
    <row r="25" spans="1:18" x14ac:dyDescent="0.25">
      <c r="A25" s="26"/>
      <c r="B25" s="27" t="s">
        <v>48</v>
      </c>
      <c r="C25" s="27" t="s">
        <v>49</v>
      </c>
      <c r="D25" s="27" t="s">
        <v>50</v>
      </c>
      <c r="E25" s="28" t="s">
        <v>51</v>
      </c>
      <c r="F25" s="27" t="s">
        <v>49</v>
      </c>
      <c r="G25" s="27" t="s">
        <v>50</v>
      </c>
      <c r="H25" s="27" t="s">
        <v>48</v>
      </c>
      <c r="I25" s="27" t="s">
        <v>49</v>
      </c>
      <c r="J25" s="27" t="s">
        <v>50</v>
      </c>
      <c r="K25" s="27" t="s">
        <v>48</v>
      </c>
      <c r="L25" s="27" t="s">
        <v>49</v>
      </c>
      <c r="M25" s="27" t="s">
        <v>50</v>
      </c>
      <c r="N25" s="5"/>
      <c r="O25" s="5"/>
      <c r="P25" s="5" t="s">
        <v>49</v>
      </c>
      <c r="Q25" s="5" t="s">
        <v>50</v>
      </c>
      <c r="R25" s="5"/>
    </row>
    <row r="26" spans="1:18" x14ac:dyDescent="0.25">
      <c r="A26" s="30">
        <v>11</v>
      </c>
      <c r="B26" s="31"/>
      <c r="C26" s="31"/>
      <c r="D26" s="31"/>
      <c r="E26" s="32" t="s">
        <v>52</v>
      </c>
      <c r="F26" s="33" t="s">
        <v>53</v>
      </c>
      <c r="G26" s="33" t="s">
        <v>54</v>
      </c>
      <c r="H26" s="4"/>
      <c r="I26" s="4"/>
      <c r="J26" s="4"/>
      <c r="K26" s="4"/>
      <c r="L26" s="4"/>
      <c r="M26" s="4"/>
      <c r="N26" s="5"/>
      <c r="O26" s="5"/>
      <c r="P26" s="5"/>
      <c r="Q26" s="5"/>
      <c r="R26" s="5"/>
    </row>
    <row r="27" spans="1:18" x14ac:dyDescent="0.25">
      <c r="A27" s="30">
        <v>12</v>
      </c>
      <c r="B27" s="31"/>
      <c r="C27" s="31"/>
      <c r="D27" s="31"/>
      <c r="E27" s="32" t="s">
        <v>55</v>
      </c>
      <c r="F27" s="33" t="s">
        <v>56</v>
      </c>
      <c r="G27" s="33" t="s">
        <v>57</v>
      </c>
      <c r="H27" s="4"/>
      <c r="I27" s="4"/>
      <c r="J27" s="4"/>
      <c r="K27" s="4"/>
      <c r="L27" s="4"/>
      <c r="M27" s="4"/>
      <c r="N27" s="5"/>
      <c r="O27" s="5"/>
      <c r="P27" s="5"/>
      <c r="Q27" s="5"/>
      <c r="R27" s="5"/>
    </row>
    <row r="28" spans="1:18" x14ac:dyDescent="0.25">
      <c r="A28" s="30">
        <v>13</v>
      </c>
      <c r="B28" s="31"/>
      <c r="C28" s="31"/>
      <c r="D28" s="31"/>
      <c r="E28" s="32" t="s">
        <v>58</v>
      </c>
      <c r="F28" s="33" t="s">
        <v>59</v>
      </c>
      <c r="G28" s="33" t="s">
        <v>60</v>
      </c>
      <c r="H28" s="4"/>
      <c r="I28" s="4"/>
      <c r="J28" s="4"/>
      <c r="K28" s="4"/>
      <c r="L28" s="4"/>
      <c r="M28" s="4"/>
      <c r="N28" s="5"/>
      <c r="O28" s="5"/>
      <c r="P28" s="5"/>
      <c r="Q28" s="5"/>
      <c r="R28" s="5"/>
    </row>
    <row r="29" spans="1:18" x14ac:dyDescent="0.25">
      <c r="A29" s="30">
        <v>14</v>
      </c>
      <c r="B29" s="31"/>
      <c r="C29" s="31"/>
      <c r="D29" s="31"/>
      <c r="E29" s="32" t="s">
        <v>61</v>
      </c>
      <c r="F29" s="33" t="s">
        <v>62</v>
      </c>
      <c r="G29" s="33" t="s">
        <v>63</v>
      </c>
      <c r="H29" s="4"/>
      <c r="I29" s="4"/>
      <c r="J29" s="4"/>
      <c r="K29" s="4"/>
      <c r="L29" s="4"/>
      <c r="M29" s="4"/>
      <c r="N29" s="5"/>
      <c r="O29" s="5"/>
      <c r="P29" s="5"/>
      <c r="Q29" s="5"/>
      <c r="R29" s="5"/>
    </row>
    <row r="30" spans="1:18" x14ac:dyDescent="0.25">
      <c r="A30" s="30">
        <v>15</v>
      </c>
      <c r="B30" s="31"/>
      <c r="C30" s="31"/>
      <c r="D30" s="31"/>
      <c r="E30" s="32" t="s">
        <v>64</v>
      </c>
      <c r="F30" s="33" t="s">
        <v>65</v>
      </c>
      <c r="G30" s="33" t="s">
        <v>66</v>
      </c>
      <c r="H30" s="4"/>
      <c r="I30" s="4"/>
      <c r="J30" s="4"/>
      <c r="K30" s="4"/>
      <c r="L30" s="4"/>
      <c r="M30" s="4"/>
      <c r="N30" s="5"/>
      <c r="O30" s="5"/>
      <c r="P30" s="5"/>
      <c r="Q30" s="5"/>
      <c r="R30" s="5"/>
    </row>
    <row r="31" spans="1:18" x14ac:dyDescent="0.25">
      <c r="B31" s="34"/>
      <c r="C31" s="34"/>
      <c r="D31" s="34"/>
      <c r="E31" s="34"/>
      <c r="F31" s="4"/>
      <c r="G31" s="4"/>
      <c r="H31" s="4"/>
      <c r="I31" s="4"/>
      <c r="J31" s="4"/>
      <c r="K31" s="4"/>
      <c r="L31" s="4"/>
      <c r="M31" s="4"/>
      <c r="N31" s="5"/>
      <c r="O31" s="5"/>
      <c r="P31" s="5"/>
      <c r="Q31" s="5"/>
      <c r="R31" s="5"/>
    </row>
  </sheetData>
  <mergeCells count="2">
    <mergeCell ref="A4:A12"/>
    <mergeCell ref="B15:M15"/>
  </mergeCells>
  <conditionalFormatting sqref="H9:I10 E9:F10">
    <cfRule type="cellIs" dxfId="1" priority="1" stopIfTrue="1" operator="equal">
      <formula>0</formula>
    </cfRule>
    <cfRule type="cellIs" dxfId="0" priority="2" stopIfTrue="1" operator="equal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Certificado</vt:lpstr>
      <vt:lpstr>num2txt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INFORMATICA</dc:creator>
  <cp:lastModifiedBy>Daniel Estrada</cp:lastModifiedBy>
  <dcterms:created xsi:type="dcterms:W3CDTF">2012-08-03T18:49:31Z</dcterms:created>
  <dcterms:modified xsi:type="dcterms:W3CDTF">2013-03-19T19:25:43Z</dcterms:modified>
</cp:coreProperties>
</file>